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hidePivotFieldList="1"/>
  <mc:AlternateContent xmlns:mc="http://schemas.openxmlformats.org/markup-compatibility/2006">
    <mc:Choice Requires="x15">
      <x15ac:absPath xmlns:x15ac="http://schemas.microsoft.com/office/spreadsheetml/2010/11/ac" url="D:\Retail-Sales-SQL-Analysis\"/>
    </mc:Choice>
  </mc:AlternateContent>
  <xr:revisionPtr revIDLastSave="0" documentId="13_ncr:1_{F53F447E-9CB4-48A6-8567-0C659A8EC62D}" xr6:coauthVersionLast="47" xr6:coauthVersionMax="47" xr10:uidLastSave="{00000000-0000-0000-0000-000000000000}"/>
  <bookViews>
    <workbookView xWindow="-108" yWindow="-108" windowWidth="23256" windowHeight="12456" activeTab="1" xr2:uid="{00000000-000D-0000-FFFF-FFFF00000000}"/>
  </bookViews>
  <sheets>
    <sheet name="Pivot Tables" sheetId="8" r:id="rId1"/>
    <sheet name="Sales Dashboard" sheetId="9" r:id="rId2"/>
    <sheet name="Sales_Data" sheetId="1" r:id="rId3"/>
    <sheet name="Practice_Questions" sheetId="2" r:id="rId4"/>
    <sheet name="Helper_Data" sheetId="3" state="hidden" r:id="rId5"/>
  </sheets>
  <definedNames>
    <definedName name="_xlnm._FilterDatabase" localSheetId="2" hidden="1">Sales_Data!$A$1:$Q$1001</definedName>
    <definedName name="NativeTimeline_Order_Date">#N/A</definedName>
    <definedName name="Slicer_Product">#N/A</definedName>
    <definedName name="Slicer_Region">#N/A</definedName>
  </definedNames>
  <calcPr calcId="191029" forceFullCalc="1"/>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2" l="1"/>
  <c r="C8" i="2"/>
  <c r="C6" i="2"/>
  <c r="C10" i="2"/>
  <c r="B13" i="8"/>
  <c r="B12" i="8"/>
  <c r="C12" i="2" l="1"/>
  <c r="C11" i="2"/>
</calcChain>
</file>

<file path=xl/sharedStrings.xml><?xml version="1.0" encoding="utf-8"?>
<sst xmlns="http://schemas.openxmlformats.org/spreadsheetml/2006/main" count="10666" uniqueCount="1648">
  <si>
    <t>Order_ID</t>
  </si>
  <si>
    <t>Order_Date</t>
  </si>
  <si>
    <t>Customer_ID</t>
  </si>
  <si>
    <t>Customer_Name</t>
  </si>
  <si>
    <t>Region</t>
  </si>
  <si>
    <t>City</t>
  </si>
  <si>
    <t>Product_Category</t>
  </si>
  <si>
    <t>Product</t>
  </si>
  <si>
    <t>Quantity</t>
  </si>
  <si>
    <t>Unit_Price</t>
  </si>
  <si>
    <t>Discount</t>
  </si>
  <si>
    <t>Sales</t>
  </si>
  <si>
    <t>Cost</t>
  </si>
  <si>
    <t>Profit</t>
  </si>
  <si>
    <t>Payment_Method</t>
  </si>
  <si>
    <t>Salesperson</t>
  </si>
  <si>
    <t>Order_Status</t>
  </si>
  <si>
    <t>ORD-00153</t>
  </si>
  <si>
    <t>CUST-0181</t>
  </si>
  <si>
    <t>Customer 181</t>
  </si>
  <si>
    <t>Yangon</t>
  </si>
  <si>
    <t>Hlaing</t>
  </si>
  <si>
    <t>Electronics</t>
  </si>
  <si>
    <t>Monitor</t>
  </si>
  <si>
    <t>Credit Card</t>
  </si>
  <si>
    <t>Su Su</t>
  </si>
  <si>
    <t>Completed</t>
  </si>
  <si>
    <t>ORD-00926</t>
  </si>
  <si>
    <t>CUST-0132</t>
  </si>
  <si>
    <t>Customer 132</t>
  </si>
  <si>
    <t>Naypyidaw</t>
  </si>
  <si>
    <t>Bank Transfer</t>
  </si>
  <si>
    <t>Nandar</t>
  </si>
  <si>
    <t>ORD-00519</t>
  </si>
  <si>
    <t>CUST-0097</t>
  </si>
  <si>
    <t>Customer 097</t>
  </si>
  <si>
    <t>Mandalay</t>
  </si>
  <si>
    <t>Amarapura</t>
  </si>
  <si>
    <t>Office Supplies</t>
  </si>
  <si>
    <t>Mouse</t>
  </si>
  <si>
    <t>Cash</t>
  </si>
  <si>
    <t>ORD-00847</t>
  </si>
  <si>
    <t>CUST-0095</t>
  </si>
  <si>
    <t>Customer 095</t>
  </si>
  <si>
    <t>Furniture</t>
  </si>
  <si>
    <t>Meeting Table</t>
  </si>
  <si>
    <t>ORD-00148</t>
  </si>
  <si>
    <t>CUST-0084</t>
  </si>
  <si>
    <t>Customer 084</t>
  </si>
  <si>
    <t>Laptop</t>
  </si>
  <si>
    <t>ORD-00162</t>
  </si>
  <si>
    <t>CUST-0207</t>
  </si>
  <si>
    <t>Customer 207</t>
  </si>
  <si>
    <t>Printer</t>
  </si>
  <si>
    <t>Htet Htet</t>
  </si>
  <si>
    <t>ORD-00411</t>
  </si>
  <si>
    <t>CUST-0135</t>
  </si>
  <si>
    <t>Customer 135</t>
  </si>
  <si>
    <t>Headphones</t>
  </si>
  <si>
    <t>ORD-00672</t>
  </si>
  <si>
    <t>CUST-0017</t>
  </si>
  <si>
    <t>Customer 017</t>
  </si>
  <si>
    <t>Mayangone</t>
  </si>
  <si>
    <t>Kyaw Kyaw</t>
  </si>
  <si>
    <t>ORD-00610</t>
  </si>
  <si>
    <t>CUST-0117</t>
  </si>
  <si>
    <t>Customer 117</t>
  </si>
  <si>
    <t>Bago</t>
  </si>
  <si>
    <t>KBZ Pay</t>
  </si>
  <si>
    <t>Cancelled</t>
  </si>
  <si>
    <t>ORD-00168</t>
  </si>
  <si>
    <t>CUST-0060</t>
  </si>
  <si>
    <t>Customer 060</t>
  </si>
  <si>
    <t>Desk</t>
  </si>
  <si>
    <t>May Zin</t>
  </si>
  <si>
    <t>ORD-00076</t>
  </si>
  <si>
    <t>CUST-0203</t>
  </si>
  <si>
    <t>Customer 203</t>
  </si>
  <si>
    <t>Accessories</t>
  </si>
  <si>
    <t>USB Drive</t>
  </si>
  <si>
    <t>ORD-00379</t>
  </si>
  <si>
    <t>CUST-0190</t>
  </si>
  <si>
    <t>Customer 190</t>
  </si>
  <si>
    <t>Smartphone</t>
  </si>
  <si>
    <t>ORD-00470</t>
  </si>
  <si>
    <t>CUST-0171</t>
  </si>
  <si>
    <t>Customer 171</t>
  </si>
  <si>
    <t>Shan</t>
  </si>
  <si>
    <t>Lashio</t>
  </si>
  <si>
    <t>Bookshelf</t>
  </si>
  <si>
    <t>Aung Aung</t>
  </si>
  <si>
    <t>ORD-00661</t>
  </si>
  <si>
    <t>CUST-0160</t>
  </si>
  <si>
    <t>Customer 160</t>
  </si>
  <si>
    <t>ORD-00438</t>
  </si>
  <si>
    <t>CUST-0179</t>
  </si>
  <si>
    <t>Customer 179</t>
  </si>
  <si>
    <t>ORD-00768</t>
  </si>
  <si>
    <t>CUST-0236</t>
  </si>
  <si>
    <t>Customer 236</t>
  </si>
  <si>
    <t>Pyay</t>
  </si>
  <si>
    <t>ORD-00507</t>
  </si>
  <si>
    <t>CUST-0030</t>
  </si>
  <si>
    <t>Customer 030</t>
  </si>
  <si>
    <t>Wave Money</t>
  </si>
  <si>
    <t>Returned</t>
  </si>
  <si>
    <t>ORD-00204</t>
  </si>
  <si>
    <t>CUST-0121</t>
  </si>
  <si>
    <t>Customer 121</t>
  </si>
  <si>
    <t>ORD-00642</t>
  </si>
  <si>
    <t>CUST-0185</t>
  </si>
  <si>
    <t>Customer 185</t>
  </si>
  <si>
    <t>ORD-00573</t>
  </si>
  <si>
    <t>CUST-0129</t>
  </si>
  <si>
    <t>Customer 129</t>
  </si>
  <si>
    <t>Power Bank</t>
  </si>
  <si>
    <t>ORD-00296</t>
  </si>
  <si>
    <t>CUST-0046</t>
  </si>
  <si>
    <t>Customer 046</t>
  </si>
  <si>
    <t>Thiri</t>
  </si>
  <si>
    <t>ORD-00908</t>
  </si>
  <si>
    <t>CUST-0232</t>
  </si>
  <si>
    <t>Customer 232</t>
  </si>
  <si>
    <t>Tamwe</t>
  </si>
  <si>
    <t>ORD-00433</t>
  </si>
  <si>
    <t>CUST-0140</t>
  </si>
  <si>
    <t>Customer 140</t>
  </si>
  <si>
    <t>Office Chair</t>
  </si>
  <si>
    <t>ORD-00228</t>
  </si>
  <si>
    <t>CUST-0247</t>
  </si>
  <si>
    <t>Customer 247</t>
  </si>
  <si>
    <t>Taunggyi</t>
  </si>
  <si>
    <t>ORD-00107</t>
  </si>
  <si>
    <t>CUST-0215</t>
  </si>
  <si>
    <t>Customer 215</t>
  </si>
  <si>
    <t>Muse</t>
  </si>
  <si>
    <t>ORD-00571</t>
  </si>
  <si>
    <t>CUST-0199</t>
  </si>
  <si>
    <t>Customer 199</t>
  </si>
  <si>
    <t>ORD-00383</t>
  </si>
  <si>
    <t>CUST-0077</t>
  </si>
  <si>
    <t>Customer 077</t>
  </si>
  <si>
    <t>ORD-00629</t>
  </si>
  <si>
    <t>CUST-0113</t>
  </si>
  <si>
    <t>Customer 113</t>
  </si>
  <si>
    <t>ORD-00739</t>
  </si>
  <si>
    <t>CUST-0204</t>
  </si>
  <si>
    <t>Customer 204</t>
  </si>
  <si>
    <t>ORD-00810</t>
  </si>
  <si>
    <t>ORD-00248</t>
  </si>
  <si>
    <t>CUST-0091</t>
  </si>
  <si>
    <t>Customer 091</t>
  </si>
  <si>
    <t>ORD-00563</t>
  </si>
  <si>
    <t>CUST-0041</t>
  </si>
  <si>
    <t>Customer 041</t>
  </si>
  <si>
    <t>Chanmyathazi</t>
  </si>
  <si>
    <t>ORD-00347</t>
  </si>
  <si>
    <t>CUST-0176</t>
  </si>
  <si>
    <t>Customer 176</t>
  </si>
  <si>
    <t>Pyinmana</t>
  </si>
  <si>
    <t>ORD-00209</t>
  </si>
  <si>
    <t>CUST-0047</t>
  </si>
  <si>
    <t>Customer 047</t>
  </si>
  <si>
    <t>Min Min</t>
  </si>
  <si>
    <t>ORD-00641</t>
  </si>
  <si>
    <t>CUST-0225</t>
  </si>
  <si>
    <t>Customer 225</t>
  </si>
  <si>
    <t>ORD-00540</t>
  </si>
  <si>
    <t>CUST-0119</t>
  </si>
  <si>
    <t>Customer 119</t>
  </si>
  <si>
    <t>ORD-00738</t>
  </si>
  <si>
    <t>CUST-0191</t>
  </si>
  <si>
    <t>Customer 191</t>
  </si>
  <si>
    <t>ORD-00428</t>
  </si>
  <si>
    <t>CUST-0197</t>
  </si>
  <si>
    <t>Customer 197</t>
  </si>
  <si>
    <t>ORD-00340</t>
  </si>
  <si>
    <t>CUST-0056</t>
  </si>
  <si>
    <t>Customer 056</t>
  </si>
  <si>
    <t>ORD-00080</t>
  </si>
  <si>
    <t>CUST-0039</t>
  </si>
  <si>
    <t>Customer 039</t>
  </si>
  <si>
    <t>ORD-00792</t>
  </si>
  <si>
    <t>CUST-0167</t>
  </si>
  <si>
    <t>Customer 167</t>
  </si>
  <si>
    <t>ORD-00635</t>
  </si>
  <si>
    <t>CUST-0233</t>
  </si>
  <si>
    <t>Customer 233</t>
  </si>
  <si>
    <t>Webcam</t>
  </si>
  <si>
    <t>ORD-00714</t>
  </si>
  <si>
    <t>CUST-0241</t>
  </si>
  <si>
    <t>Customer 241</t>
  </si>
  <si>
    <t>ORD-00663</t>
  </si>
  <si>
    <t>CUST-0214</t>
  </si>
  <si>
    <t>Customer 214</t>
  </si>
  <si>
    <t>ORD-00828</t>
  </si>
  <si>
    <t>CUST-0189</t>
  </si>
  <si>
    <t>Customer 189</t>
  </si>
  <si>
    <t>ORD-00624</t>
  </si>
  <si>
    <t>CUST-0103</t>
  </si>
  <si>
    <t>Customer 103</t>
  </si>
  <si>
    <t>ORD-00995</t>
  </si>
  <si>
    <t>CUST-0038</t>
  </si>
  <si>
    <t>Customer 038</t>
  </si>
  <si>
    <t>ORD-00930</t>
  </si>
  <si>
    <t>CUST-0130</t>
  </si>
  <si>
    <t>Customer 130</t>
  </si>
  <si>
    <t>ORD-00557</t>
  </si>
  <si>
    <t>ORD-00611</t>
  </si>
  <si>
    <t>CUST-0069</t>
  </si>
  <si>
    <t>Customer 069</t>
  </si>
  <si>
    <t>ORD-00816</t>
  </si>
  <si>
    <t>CUST-0237</t>
  </si>
  <si>
    <t>Customer 237</t>
  </si>
  <si>
    <t>Keyboard</t>
  </si>
  <si>
    <t>ORD-00447</t>
  </si>
  <si>
    <t>ORD-00886</t>
  </si>
  <si>
    <t>CUST-0173</t>
  </si>
  <si>
    <t>Customer 173</t>
  </si>
  <si>
    <t>ORD-00617</t>
  </si>
  <si>
    <t>CUST-0177</t>
  </si>
  <si>
    <t>Customer 177</t>
  </si>
  <si>
    <t>Zabuthiri</t>
  </si>
  <si>
    <t>ORD-00467</t>
  </si>
  <si>
    <t>ORD-00764</t>
  </si>
  <si>
    <t>CUST-0131</t>
  </si>
  <si>
    <t>Customer 131</t>
  </si>
  <si>
    <t>ORD-00429</t>
  </si>
  <si>
    <t>CUST-0073</t>
  </si>
  <si>
    <t>Customer 073</t>
  </si>
  <si>
    <t>ORD-00436</t>
  </si>
  <si>
    <t>CUST-0118</t>
  </si>
  <si>
    <t>Customer 118</t>
  </si>
  <si>
    <t>ORD-00125</t>
  </si>
  <si>
    <t>CUST-0221</t>
  </si>
  <si>
    <t>Customer 221</t>
  </si>
  <si>
    <t>Taungoo</t>
  </si>
  <si>
    <t>ORD-00861</t>
  </si>
  <si>
    <t>CUST-0001</t>
  </si>
  <si>
    <t>Customer 001</t>
  </si>
  <si>
    <t>ORD-00947</t>
  </si>
  <si>
    <t>CUST-0174</t>
  </si>
  <si>
    <t>Customer 174</t>
  </si>
  <si>
    <t>ORD-00122</t>
  </si>
  <si>
    <t>CUST-0186</t>
  </si>
  <si>
    <t>Customer 186</t>
  </si>
  <si>
    <t>ORD-00654</t>
  </si>
  <si>
    <t>CUST-0235</t>
  </si>
  <si>
    <t>Customer 235</t>
  </si>
  <si>
    <t>ORD-00803</t>
  </si>
  <si>
    <t>CUST-0087</t>
  </si>
  <si>
    <t>Customer 087</t>
  </si>
  <si>
    <t>ORD-00121</t>
  </si>
  <si>
    <t>CUST-0146</t>
  </si>
  <si>
    <t>Customer 146</t>
  </si>
  <si>
    <t>ORD-00892</t>
  </si>
  <si>
    <t>CUST-0072</t>
  </si>
  <si>
    <t>Customer 072</t>
  </si>
  <si>
    <t>ORD-00106</t>
  </si>
  <si>
    <t>CUST-0101</t>
  </si>
  <si>
    <t>Customer 101</t>
  </si>
  <si>
    <t>ORD-00965</t>
  </si>
  <si>
    <t>CUST-0154</t>
  </si>
  <si>
    <t>Customer 154</t>
  </si>
  <si>
    <t>ORD-00484</t>
  </si>
  <si>
    <t>CUST-0122</t>
  </si>
  <si>
    <t>Customer 122</t>
  </si>
  <si>
    <t>ORD-00163</t>
  </si>
  <si>
    <t>CUST-0124</t>
  </si>
  <si>
    <t>Customer 124</t>
  </si>
  <si>
    <t>ORD-00319</t>
  </si>
  <si>
    <t>CUST-0134</t>
  </si>
  <si>
    <t>Customer 134</t>
  </si>
  <si>
    <t>ORD-00220</t>
  </si>
  <si>
    <t>CUST-0002</t>
  </si>
  <si>
    <t>Customer 002</t>
  </si>
  <si>
    <t>ORD-00744</t>
  </si>
  <si>
    <t>CUST-0049</t>
  </si>
  <si>
    <t>Customer 049</t>
  </si>
  <si>
    <t>ORD-00040</t>
  </si>
  <si>
    <t>CUST-0008</t>
  </si>
  <si>
    <t>Customer 008</t>
  </si>
  <si>
    <t>ORD-00449</t>
  </si>
  <si>
    <t>CUST-0184</t>
  </si>
  <si>
    <t>Customer 184</t>
  </si>
  <si>
    <t>ORD-00184</t>
  </si>
  <si>
    <t>CUST-0178</t>
  </si>
  <si>
    <t>Customer 178</t>
  </si>
  <si>
    <t>ORD-00730</t>
  </si>
  <si>
    <t>ORD-00712</t>
  </si>
  <si>
    <t>CUST-0148</t>
  </si>
  <si>
    <t>Customer 148</t>
  </si>
  <si>
    <t>ORD-00461</t>
  </si>
  <si>
    <t>CUST-0229</t>
  </si>
  <si>
    <t>Customer 229</t>
  </si>
  <si>
    <t>ORD-00948</t>
  </si>
  <si>
    <t>CUST-0163</t>
  </si>
  <si>
    <t>Customer 163</t>
  </si>
  <si>
    <t>ORD-00138</t>
  </si>
  <si>
    <t>ORD-00774</t>
  </si>
  <si>
    <t>CUST-0249</t>
  </si>
  <si>
    <t>Customer 249</t>
  </si>
  <si>
    <t>ORD-00421</t>
  </si>
  <si>
    <t>ORD-00485</t>
  </si>
  <si>
    <t>CUST-0223</t>
  </si>
  <si>
    <t>Customer 223</t>
  </si>
  <si>
    <t>ORD-00590</t>
  </si>
  <si>
    <t>ORD-00353</t>
  </si>
  <si>
    <t>CUST-0083</t>
  </si>
  <si>
    <t>Customer 083</t>
  </si>
  <si>
    <t>ORD-00499</t>
  </si>
  <si>
    <t>ORD-00752</t>
  </si>
  <si>
    <t>CUST-0010</t>
  </si>
  <si>
    <t>Customer 010</t>
  </si>
  <si>
    <t>ORD-00164</t>
  </si>
  <si>
    <t>CUST-0157</t>
  </si>
  <si>
    <t>Customer 157</t>
  </si>
  <si>
    <t>ORD-00848</t>
  </si>
  <si>
    <t>Laptop Bag</t>
  </si>
  <si>
    <t>ORD-00915</t>
  </si>
  <si>
    <t>ORD-00060</t>
  </si>
  <si>
    <t>CUST-0142</t>
  </si>
  <si>
    <t>Customer 142</t>
  </si>
  <si>
    <t>ORD-00454</t>
  </si>
  <si>
    <t>CUST-0093</t>
  </si>
  <si>
    <t>Customer 093</t>
  </si>
  <si>
    <t>ORD-00332</t>
  </si>
  <si>
    <t>CUST-0155</t>
  </si>
  <si>
    <t>Customer 155</t>
  </si>
  <si>
    <t>ORD-00690</t>
  </si>
  <si>
    <t>ORD-00104</t>
  </si>
  <si>
    <t>ORD-00185</t>
  </si>
  <si>
    <t>ORD-00543</t>
  </si>
  <si>
    <t>ORD-00668</t>
  </si>
  <si>
    <t>ORD-00481</t>
  </si>
  <si>
    <t>ORD-00506</t>
  </si>
  <si>
    <t>CUST-0216</t>
  </si>
  <si>
    <t>Customer 216</t>
  </si>
  <si>
    <t>ORD-00378</t>
  </si>
  <si>
    <t>CUST-0031</t>
  </si>
  <si>
    <t>Customer 031</t>
  </si>
  <si>
    <t>ORD-00646</t>
  </si>
  <si>
    <t>CUST-0021</t>
  </si>
  <si>
    <t>Customer 021</t>
  </si>
  <si>
    <t>ORD-00933</t>
  </si>
  <si>
    <t>CUST-0036</t>
  </si>
  <si>
    <t>Customer 036</t>
  </si>
  <si>
    <t>ORD-00065</t>
  </si>
  <si>
    <t>ORD-00859</t>
  </si>
  <si>
    <t>CUST-0082</t>
  </si>
  <si>
    <t>Customer 082</t>
  </si>
  <si>
    <t>ORD-00116</t>
  </si>
  <si>
    <t>ORD-00870</t>
  </si>
  <si>
    <t>CUST-0187</t>
  </si>
  <si>
    <t>Customer 187</t>
  </si>
  <si>
    <t>ORD-00355</t>
  </si>
  <si>
    <t>CUST-0250</t>
  </si>
  <si>
    <t>Customer 250</t>
  </si>
  <si>
    <t>ORD-00804</t>
  </si>
  <si>
    <t>CUST-0016</t>
  </si>
  <si>
    <t>Customer 016</t>
  </si>
  <si>
    <t>ORD-00376</t>
  </si>
  <si>
    <t>CUST-0050</t>
  </si>
  <si>
    <t>Customer 050</t>
  </si>
  <si>
    <t>ORD-00510</t>
  </si>
  <si>
    <t>CUST-0062</t>
  </si>
  <si>
    <t>Customer 062</t>
  </si>
  <si>
    <t>ORD-00514</t>
  </si>
  <si>
    <t>ORD-00588</t>
  </si>
  <si>
    <t>CUST-0045</t>
  </si>
  <si>
    <t>Customer 045</t>
  </si>
  <si>
    <t>ORD-00651</t>
  </si>
  <si>
    <t>CUST-0226</t>
  </si>
  <si>
    <t>Customer 226</t>
  </si>
  <si>
    <t>ORD-00273</t>
  </si>
  <si>
    <t>CUST-0034</t>
  </si>
  <si>
    <t>Customer 034</t>
  </si>
  <si>
    <t>ORD-00323</t>
  </si>
  <si>
    <t>CUST-0033</t>
  </si>
  <si>
    <t>Customer 033</t>
  </si>
  <si>
    <t>ORD-00403</t>
  </si>
  <si>
    <t>CUST-0040</t>
  </si>
  <si>
    <t>Customer 040</t>
  </si>
  <si>
    <t>ORD-00830</t>
  </si>
  <si>
    <t>CUST-0032</t>
  </si>
  <si>
    <t>Customer 032</t>
  </si>
  <si>
    <t>ORD-00567</t>
  </si>
  <si>
    <t>CUST-0005</t>
  </si>
  <si>
    <t>Customer 005</t>
  </si>
  <si>
    <t>ORD-00935</t>
  </si>
  <si>
    <t>CUST-0061</t>
  </si>
  <si>
    <t>Customer 061</t>
  </si>
  <si>
    <t>ORD-00508</t>
  </si>
  <si>
    <t>CUST-0107</t>
  </si>
  <si>
    <t>Customer 107</t>
  </si>
  <si>
    <t>ORD-00554</t>
  </si>
  <si>
    <t>CUST-0182</t>
  </si>
  <si>
    <t>Customer 182</t>
  </si>
  <si>
    <t>ORD-00628</t>
  </si>
  <si>
    <t>CUST-0023</t>
  </si>
  <si>
    <t>Customer 023</t>
  </si>
  <si>
    <t>ORD-00614</t>
  </si>
  <si>
    <t>CUST-0239</t>
  </si>
  <si>
    <t>Customer 239</t>
  </si>
  <si>
    <t>ORD-00061</t>
  </si>
  <si>
    <t>ORD-00243</t>
  </si>
  <si>
    <t>CUST-0210</t>
  </si>
  <si>
    <t>Customer 210</t>
  </si>
  <si>
    <t>ORD-00318</t>
  </si>
  <si>
    <t>ORD-00036</t>
  </si>
  <si>
    <t>ORD-00960</t>
  </si>
  <si>
    <t>CUST-0172</t>
  </si>
  <si>
    <t>Customer 172</t>
  </si>
  <si>
    <t>ORD-00068</t>
  </si>
  <si>
    <t>ORD-00487</t>
  </si>
  <si>
    <t>CUST-0222</t>
  </si>
  <si>
    <t>Customer 222</t>
  </si>
  <si>
    <t>ORD-00518</t>
  </si>
  <si>
    <t>CUST-0043</t>
  </si>
  <si>
    <t>Customer 043</t>
  </si>
  <si>
    <t>ORD-00455</t>
  </si>
  <si>
    <t>CUST-0234</t>
  </si>
  <si>
    <t>Customer 234</t>
  </si>
  <si>
    <t>ORD-00130</t>
  </si>
  <si>
    <t>ORD-00878</t>
  </si>
  <si>
    <t>CUST-0192</t>
  </si>
  <si>
    <t>Customer 192</t>
  </si>
  <si>
    <t>ORD-00679</t>
  </si>
  <si>
    <t>CUST-0055</t>
  </si>
  <si>
    <t>Customer 055</t>
  </si>
  <si>
    <t>ORD-00017</t>
  </si>
  <si>
    <t>CUST-0053</t>
  </si>
  <si>
    <t>Customer 053</t>
  </si>
  <si>
    <t>ORD-00267</t>
  </si>
  <si>
    <t>CUST-0081</t>
  </si>
  <si>
    <t>Customer 081</t>
  </si>
  <si>
    <t>ORD-00218</t>
  </si>
  <si>
    <t>ORD-00606</t>
  </si>
  <si>
    <t>ORD-00576</t>
  </si>
  <si>
    <t>CUST-0201</t>
  </si>
  <si>
    <t>Customer 201</t>
  </si>
  <si>
    <t>ORD-00627</t>
  </si>
  <si>
    <t>CUST-0096</t>
  </si>
  <si>
    <t>Customer 096</t>
  </si>
  <si>
    <t>ORD-00177</t>
  </si>
  <si>
    <t>ORD-00586</t>
  </si>
  <si>
    <t>CUST-0035</t>
  </si>
  <si>
    <t>Customer 035</t>
  </si>
  <si>
    <t>ORD-00324</t>
  </si>
  <si>
    <t>CUST-0063</t>
  </si>
  <si>
    <t>Customer 063</t>
  </si>
  <si>
    <t>ORD-00957</t>
  </si>
  <si>
    <t>ORD-00682</t>
  </si>
  <si>
    <t>ORD-00888</t>
  </si>
  <si>
    <t>ORD-00312</t>
  </si>
  <si>
    <t>ORD-00598</t>
  </si>
  <si>
    <t>CUST-0230</t>
  </si>
  <si>
    <t>Customer 230</t>
  </si>
  <si>
    <t>ORD-00565</t>
  </si>
  <si>
    <t>ORD-00827</t>
  </si>
  <si>
    <t>ORD-00339</t>
  </si>
  <si>
    <t>CUST-0240</t>
  </si>
  <si>
    <t>Customer 240</t>
  </si>
  <si>
    <t>ORD-00747</t>
  </si>
  <si>
    <t>CUST-0089</t>
  </si>
  <si>
    <t>Customer 089</t>
  </si>
  <si>
    <t>ORD-00480</t>
  </si>
  <si>
    <t>CUST-0194</t>
  </si>
  <si>
    <t>Customer 194</t>
  </si>
  <si>
    <t>ORD-00997</t>
  </si>
  <si>
    <t>ORD-00898</t>
  </si>
  <si>
    <t>CUST-0115</t>
  </si>
  <si>
    <t>Customer 115</t>
  </si>
  <si>
    <t>ORD-00980</t>
  </si>
  <si>
    <t>ORD-00819</t>
  </si>
  <si>
    <t>CUST-0147</t>
  </si>
  <si>
    <t>Customer 147</t>
  </si>
  <si>
    <t>ORD-00855</t>
  </si>
  <si>
    <t>CUST-0196</t>
  </si>
  <si>
    <t>Customer 196</t>
  </si>
  <si>
    <t>ORD-00441</t>
  </si>
  <si>
    <t>CUST-0206</t>
  </si>
  <si>
    <t>Customer 206</t>
  </si>
  <si>
    <t>ORD-00419</t>
  </si>
  <si>
    <t>CUST-0205</t>
  </si>
  <si>
    <t>Customer 205</t>
  </si>
  <si>
    <t>ORD-00035</t>
  </si>
  <si>
    <t>ORD-00517</t>
  </si>
  <si>
    <t>ORD-00224</t>
  </si>
  <si>
    <t>CUST-0011</t>
  </si>
  <si>
    <t>Customer 011</t>
  </si>
  <si>
    <t>ORD-00595</t>
  </si>
  <si>
    <t>CUST-0111</t>
  </si>
  <si>
    <t>Customer 111</t>
  </si>
  <si>
    <t>ORD-00392</t>
  </si>
  <si>
    <t>CUST-0065</t>
  </si>
  <si>
    <t>Customer 065</t>
  </si>
  <si>
    <t>ORD-00111</t>
  </si>
  <si>
    <t>ORD-00897</t>
  </si>
  <si>
    <t>ORD-00770</t>
  </si>
  <si>
    <t>ORD-00728</t>
  </si>
  <si>
    <t>ORD-00762</t>
  </si>
  <si>
    <t>ORD-00660</t>
  </si>
  <si>
    <t>ORD-00932</t>
  </si>
  <si>
    <t>ORD-00172</t>
  </si>
  <si>
    <t>CUST-0231</t>
  </si>
  <si>
    <t>Customer 231</t>
  </si>
  <si>
    <t>ORD-00001</t>
  </si>
  <si>
    <t>CUST-0100</t>
  </si>
  <si>
    <t>Customer 100</t>
  </si>
  <si>
    <t>ORD-00824</t>
  </si>
  <si>
    <t>ORD-00191</t>
  </si>
  <si>
    <t>CUST-0188</t>
  </si>
  <si>
    <t>Customer 188</t>
  </si>
  <si>
    <t>ORD-00863</t>
  </si>
  <si>
    <t>CUST-0066</t>
  </si>
  <si>
    <t>Customer 066</t>
  </si>
  <si>
    <t>ORD-00607</t>
  </si>
  <si>
    <t>ORD-00166</t>
  </si>
  <si>
    <t>ORD-00202</t>
  </si>
  <si>
    <t>ORD-00443</t>
  </si>
  <si>
    <t>CUST-0220</t>
  </si>
  <si>
    <t>Customer 220</t>
  </si>
  <si>
    <t>ORD-00444</t>
  </si>
  <si>
    <t>ORD-00182</t>
  </si>
  <si>
    <t>ORD-00809</t>
  </si>
  <si>
    <t>CUST-0086</t>
  </si>
  <si>
    <t>Customer 086</t>
  </si>
  <si>
    <t>ORD-00925</t>
  </si>
  <si>
    <t>CUST-0048</t>
  </si>
  <si>
    <t>Customer 048</t>
  </si>
  <si>
    <t>ORD-00619</t>
  </si>
  <si>
    <t>ORD-00221</t>
  </si>
  <si>
    <t>CUST-0059</t>
  </si>
  <si>
    <t>Customer 059</t>
  </si>
  <si>
    <t>ORD-00899</t>
  </si>
  <si>
    <t>CUST-0218</t>
  </si>
  <si>
    <t>Customer 218</t>
  </si>
  <si>
    <t>ORD-00539</t>
  </si>
  <si>
    <t>ORD-00093</t>
  </si>
  <si>
    <t>CUST-0110</t>
  </si>
  <si>
    <t>Customer 110</t>
  </si>
  <si>
    <t>ORD-00369</t>
  </si>
  <si>
    <t>ORD-00178</t>
  </si>
  <si>
    <t>ORD-00609</t>
  </si>
  <si>
    <t>ORD-00853</t>
  </si>
  <si>
    <t>ORD-00687</t>
  </si>
  <si>
    <t>CUST-0244</t>
  </si>
  <si>
    <t>Customer 244</t>
  </si>
  <si>
    <t>ORD-00664</t>
  </si>
  <si>
    <t>CUST-0219</t>
  </si>
  <si>
    <t>Customer 219</t>
  </si>
  <si>
    <t>ORD-00940</t>
  </si>
  <si>
    <t>ORD-00146</t>
  </si>
  <si>
    <t>CUST-0012</t>
  </si>
  <si>
    <t>Customer 012</t>
  </si>
  <si>
    <t>ORD-00051</t>
  </si>
  <si>
    <t>CUST-0164</t>
  </si>
  <si>
    <t>Customer 164</t>
  </si>
  <si>
    <t>ORD-00264</t>
  </si>
  <si>
    <t>ORD-00982</t>
  </si>
  <si>
    <t>CUST-0228</t>
  </si>
  <si>
    <t>Customer 228</t>
  </si>
  <si>
    <t>ORD-00083</t>
  </si>
  <si>
    <t>CUST-0076</t>
  </si>
  <si>
    <t>Customer 076</t>
  </si>
  <si>
    <t>ORD-00255</t>
  </si>
  <si>
    <t>ORD-00766</t>
  </si>
  <si>
    <t>CUST-0166</t>
  </si>
  <si>
    <t>Customer 166</t>
  </si>
  <si>
    <t>ORD-00210</t>
  </si>
  <si>
    <t>ORD-00396</t>
  </si>
  <si>
    <t>ORD-00056</t>
  </si>
  <si>
    <t>CUST-0027</t>
  </si>
  <si>
    <t>Customer 027</t>
  </si>
  <si>
    <t>ORD-00634</t>
  </si>
  <si>
    <t>ORD-00199</t>
  </si>
  <si>
    <t>CUST-0224</t>
  </si>
  <si>
    <t>Customer 224</t>
  </si>
  <si>
    <t>ORD-00657</t>
  </si>
  <si>
    <t>CUST-0139</t>
  </si>
  <si>
    <t>Customer 139</t>
  </si>
  <si>
    <t>ORD-00596</t>
  </si>
  <si>
    <t>ORD-00826</t>
  </si>
  <si>
    <t>ORD-00911</t>
  </si>
  <si>
    <t>ORD-00416</t>
  </si>
  <si>
    <t>ORD-00708</t>
  </si>
  <si>
    <t>ORD-00367</t>
  </si>
  <si>
    <t>CUST-0020</t>
  </si>
  <si>
    <t>Customer 020</t>
  </si>
  <si>
    <t>ORD-00259</t>
  </si>
  <si>
    <t>ORD-00597</t>
  </si>
  <si>
    <t>ORD-00086</t>
  </si>
  <si>
    <t>CUST-0151</t>
  </si>
  <si>
    <t>Customer 151</t>
  </si>
  <si>
    <t>ORD-00142</t>
  </si>
  <si>
    <t>ORD-00476</t>
  </si>
  <si>
    <t>ORD-00440</t>
  </si>
  <si>
    <t>ORD-00697</t>
  </si>
  <si>
    <t>ORD-00099</t>
  </si>
  <si>
    <t>CUST-0238</t>
  </si>
  <si>
    <t>Customer 238</t>
  </si>
  <si>
    <t>ORD-00414</t>
  </si>
  <si>
    <t>CUST-0028</t>
  </si>
  <si>
    <t>Customer 028</t>
  </si>
  <si>
    <t>ORD-00593</t>
  </si>
  <si>
    <t>ORD-00795</t>
  </si>
  <si>
    <t>CUST-0161</t>
  </si>
  <si>
    <t>Customer 161</t>
  </si>
  <si>
    <t>ORD-00605</t>
  </si>
  <si>
    <t>CUST-0058</t>
  </si>
  <si>
    <t>Customer 058</t>
  </si>
  <si>
    <t>ORD-00521</t>
  </si>
  <si>
    <t>ORD-00084</t>
  </si>
  <si>
    <t>ORD-00181</t>
  </si>
  <si>
    <t>ORD-00002</t>
  </si>
  <si>
    <t>CUST-0022</t>
  </si>
  <si>
    <t>Customer 022</t>
  </si>
  <si>
    <t>ORD-00633</t>
  </si>
  <si>
    <t>CUST-0133</t>
  </si>
  <si>
    <t>Customer 133</t>
  </si>
  <si>
    <t>ORD-00525</t>
  </si>
  <si>
    <t>CUST-0090</t>
  </si>
  <si>
    <t>Customer 090</t>
  </si>
  <si>
    <t>ORD-00992</t>
  </si>
  <si>
    <t>ORD-00862</t>
  </si>
  <si>
    <t>ORD-00889</t>
  </si>
  <si>
    <t>CUST-0195</t>
  </si>
  <si>
    <t>Customer 195</t>
  </si>
  <si>
    <t>ORD-00331</t>
  </si>
  <si>
    <t>CUST-0074</t>
  </si>
  <si>
    <t>Customer 074</t>
  </si>
  <si>
    <t>ORD-00472</t>
  </si>
  <si>
    <t>CUST-0013</t>
  </si>
  <si>
    <t>Customer 013</t>
  </si>
  <si>
    <t>ORD-00726</t>
  </si>
  <si>
    <t>ORD-00737</t>
  </si>
  <si>
    <t>CUST-0029</t>
  </si>
  <si>
    <t>Customer 029</t>
  </si>
  <si>
    <t>ORD-00404</t>
  </si>
  <si>
    <t>ORD-00740</t>
  </si>
  <si>
    <t>ORD-00743</t>
  </si>
  <si>
    <t>CUST-0209</t>
  </si>
  <si>
    <t>Customer 209</t>
  </si>
  <si>
    <t>ORD-00234</t>
  </si>
  <si>
    <t>CUST-0099</t>
  </si>
  <si>
    <t>Customer 099</t>
  </si>
  <si>
    <t>ORD-00823</t>
  </si>
  <si>
    <t>ORD-00031</t>
  </si>
  <si>
    <t>ORD-00465</t>
  </si>
  <si>
    <t>ORD-00021</t>
  </si>
  <si>
    <t>ORD-00380</t>
  </si>
  <si>
    <t>ORD-00149</t>
  </si>
  <si>
    <t>ORD-00787</t>
  </si>
  <si>
    <t>CUST-0165</t>
  </si>
  <si>
    <t>Customer 165</t>
  </si>
  <si>
    <t>ORD-00268</t>
  </si>
  <si>
    <t>ORD-00594</t>
  </si>
  <si>
    <t>CUST-0116</t>
  </si>
  <si>
    <t>Customer 116</t>
  </si>
  <si>
    <t>ORD-00753</t>
  </si>
  <si>
    <t>CUST-0025</t>
  </si>
  <si>
    <t>Customer 025</t>
  </si>
  <si>
    <t>ORD-00529</t>
  </si>
  <si>
    <t>ORD-00659</t>
  </si>
  <si>
    <t>ORD-00395</t>
  </si>
  <si>
    <t>ORD-00959</t>
  </si>
  <si>
    <t>ORD-00631</t>
  </si>
  <si>
    <t>ORD-00524</t>
  </si>
  <si>
    <t>ORD-00674</t>
  </si>
  <si>
    <t>ORD-00101</t>
  </si>
  <si>
    <t>ORD-00569</t>
  </si>
  <si>
    <t>ORD-00535</t>
  </si>
  <si>
    <t>ORD-00029</t>
  </si>
  <si>
    <t>ORD-00303</t>
  </si>
  <si>
    <t>CUST-0243</t>
  </si>
  <si>
    <t>Customer 243</t>
  </si>
  <si>
    <t>ORD-00258</t>
  </si>
  <si>
    <t>ORD-00462</t>
  </si>
  <si>
    <t>ORD-00152</t>
  </si>
  <si>
    <t>CUST-0026</t>
  </si>
  <si>
    <t>Customer 026</t>
  </si>
  <si>
    <t>ORD-00931</t>
  </si>
  <si>
    <t>ORD-00165</t>
  </si>
  <si>
    <t>CUST-0007</t>
  </si>
  <si>
    <t>Customer 007</t>
  </si>
  <si>
    <t>ORD-00279</t>
  </si>
  <si>
    <t>CUST-0141</t>
  </si>
  <si>
    <t>Customer 141</t>
  </si>
  <si>
    <t>ORD-00938</t>
  </si>
  <si>
    <t>ORD-00295</t>
  </si>
  <si>
    <t>ORD-00145</t>
  </si>
  <si>
    <t>ORD-00208</t>
  </si>
  <si>
    <t>CUST-0159</t>
  </si>
  <si>
    <t>Customer 159</t>
  </si>
  <si>
    <t>ORD-00039</t>
  </si>
  <si>
    <t>ORD-00219</t>
  </si>
  <si>
    <t>CUST-0098</t>
  </si>
  <si>
    <t>Customer 098</t>
  </si>
  <si>
    <t>ORD-00028</t>
  </si>
  <si>
    <t>ORD-00090</t>
  </si>
  <si>
    <t>ORD-00723</t>
  </si>
  <si>
    <t>ORD-00715</t>
  </si>
  <si>
    <t>ORD-00724</t>
  </si>
  <si>
    <t>CUST-0104</t>
  </si>
  <si>
    <t>Customer 104</t>
  </si>
  <si>
    <t>ORD-00079</t>
  </si>
  <si>
    <t>CUST-0125</t>
  </si>
  <si>
    <t>Customer 125</t>
  </si>
  <si>
    <t>ORD-00700</t>
  </si>
  <si>
    <t>ORD-00788</t>
  </si>
  <si>
    <t>ORD-00137</t>
  </si>
  <si>
    <t>ORD-00320</t>
  </si>
  <si>
    <t>ORD-00962</t>
  </si>
  <si>
    <t>ORD-00558</t>
  </si>
  <si>
    <t>ORD-00967</t>
  </si>
  <si>
    <t>CUST-0242</t>
  </si>
  <si>
    <t>Customer 242</t>
  </si>
  <si>
    <t>ORD-00497</t>
  </si>
  <si>
    <t>CUST-0227</t>
  </si>
  <si>
    <t>Customer 227</t>
  </si>
  <si>
    <t>ORD-00463</t>
  </si>
  <si>
    <t>ORD-00417</t>
  </si>
  <si>
    <t>ORD-00835</t>
  </si>
  <si>
    <t>ORD-00289</t>
  </si>
  <si>
    <t>CUST-0126</t>
  </si>
  <si>
    <t>Customer 126</t>
  </si>
  <si>
    <t>ORD-00281</t>
  </si>
  <si>
    <t>CUST-0094</t>
  </si>
  <si>
    <t>Customer 094</t>
  </si>
  <si>
    <t>ORD-00721</t>
  </si>
  <si>
    <t>ORD-00885</t>
  </si>
  <si>
    <t>CUST-0078</t>
  </si>
  <si>
    <t>Customer 078</t>
  </si>
  <si>
    <t>ORD-00342</t>
  </si>
  <si>
    <t>ORD-00280</t>
  </si>
  <si>
    <t>CUST-0217</t>
  </si>
  <si>
    <t>Customer 217</t>
  </si>
  <si>
    <t>ORD-00790</t>
  </si>
  <si>
    <t>ORD-00038</t>
  </si>
  <si>
    <t>ORD-00049</t>
  </si>
  <si>
    <t>ORD-00490</t>
  </si>
  <si>
    <t>ORD-00064</t>
  </si>
  <si>
    <t>ORD-00902</t>
  </si>
  <si>
    <t>CUST-0168</t>
  </si>
  <si>
    <t>Customer 168</t>
  </si>
  <si>
    <t>ORD-00457</t>
  </si>
  <si>
    <t>ORD-00288</t>
  </si>
  <si>
    <t>CUST-0170</t>
  </si>
  <si>
    <t>Customer 170</t>
  </si>
  <si>
    <t>ORD-00384</t>
  </si>
  <si>
    <t>ORD-00271</t>
  </si>
  <si>
    <t>CUST-0158</t>
  </si>
  <si>
    <t>Customer 158</t>
  </si>
  <si>
    <t>ORD-00495</t>
  </si>
  <si>
    <t>CUST-0071</t>
  </si>
  <si>
    <t>Customer 071</t>
  </si>
  <si>
    <t>ORD-00432</t>
  </si>
  <si>
    <t>ORD-00310</t>
  </si>
  <si>
    <t>ORD-00796</t>
  </si>
  <si>
    <t>ORD-00528</t>
  </si>
  <si>
    <t>ORD-00520</t>
  </si>
  <si>
    <t>ORD-00496</t>
  </si>
  <si>
    <t>CUST-0208</t>
  </si>
  <si>
    <t>Customer 208</t>
  </si>
  <si>
    <t>ORD-00491</t>
  </si>
  <si>
    <t>CUST-0015</t>
  </si>
  <si>
    <t>Customer 015</t>
  </si>
  <si>
    <t>ORD-00636</t>
  </si>
  <si>
    <t>ORD-00033</t>
  </si>
  <si>
    <t>CUST-0145</t>
  </si>
  <si>
    <t>Customer 145</t>
  </si>
  <si>
    <t>ORD-00951</t>
  </si>
  <si>
    <t>ORD-00464</t>
  </si>
  <si>
    <t>ORD-00580</t>
  </si>
  <si>
    <t>ORD-00553</t>
  </si>
  <si>
    <t>ORD-00081</t>
  </si>
  <si>
    <t>ORD-00638</t>
  </si>
  <si>
    <t>CUST-0137</t>
  </si>
  <si>
    <t>Customer 137</t>
  </si>
  <si>
    <t>ORD-00601</t>
  </si>
  <si>
    <t>ORD-00746</t>
  </si>
  <si>
    <t>CUST-0052</t>
  </si>
  <si>
    <t>Customer 052</t>
  </si>
  <si>
    <t>ORD-00351</t>
  </si>
  <si>
    <t>ORD-00577</t>
  </si>
  <si>
    <t>ORD-00019</t>
  </si>
  <si>
    <t>ORD-00010</t>
  </si>
  <si>
    <t>ORD-00241</t>
  </si>
  <si>
    <t>ORD-00169</t>
  </si>
  <si>
    <t>ORD-00256</t>
  </si>
  <si>
    <t>CUST-0136</t>
  </si>
  <si>
    <t>Customer 136</t>
  </si>
  <si>
    <t>ORD-00649</t>
  </si>
  <si>
    <t>ORD-00217</t>
  </si>
  <si>
    <t>ORD-00693</t>
  </si>
  <si>
    <t>CUST-0180</t>
  </si>
  <si>
    <t>Customer 180</t>
  </si>
  <si>
    <t>ORD-00348</t>
  </si>
  <si>
    <t>ORD-00676</t>
  </si>
  <si>
    <t>ORD-00354</t>
  </si>
  <si>
    <t>ORD-00776</t>
  </si>
  <si>
    <t>ORD-00235</t>
  </si>
  <si>
    <t>CUST-0245</t>
  </si>
  <si>
    <t>Customer 245</t>
  </si>
  <si>
    <t>ORD-00998</t>
  </si>
  <si>
    <t>CUST-0070</t>
  </si>
  <si>
    <t>Customer 070</t>
  </si>
  <si>
    <t>ORD-00502</t>
  </si>
  <si>
    <t>ORD-00767</t>
  </si>
  <si>
    <t>CUST-0088</t>
  </si>
  <si>
    <t>Customer 088</t>
  </si>
  <si>
    <t>ORD-00368</t>
  </si>
  <si>
    <t>ORD-00691</t>
  </si>
  <si>
    <t>CUST-0108</t>
  </si>
  <si>
    <t>Customer 108</t>
  </si>
  <si>
    <t>ORD-00189</t>
  </si>
  <si>
    <t>CUST-0183</t>
  </si>
  <si>
    <t>Customer 183</t>
  </si>
  <si>
    <t>ORD-00820</t>
  </si>
  <si>
    <t>ORD-00741</t>
  </si>
  <si>
    <t>ORD-00423</t>
  </si>
  <si>
    <t>ORD-00263</t>
  </si>
  <si>
    <t>CUST-0064</t>
  </si>
  <si>
    <t>Customer 064</t>
  </si>
  <si>
    <t>ORD-00154</t>
  </si>
  <si>
    <t>ORD-00707</t>
  </si>
  <si>
    <t>ORD-00921</t>
  </si>
  <si>
    <t>ORD-00008</t>
  </si>
  <si>
    <t>ORD-00363</t>
  </si>
  <si>
    <t>ORD-00382</t>
  </si>
  <si>
    <t>ORD-00037</t>
  </si>
  <si>
    <t>ORD-00604</t>
  </si>
  <si>
    <t>ORD-00923</t>
  </si>
  <si>
    <t>CUST-0246</t>
  </si>
  <si>
    <t>Customer 246</t>
  </si>
  <si>
    <t>ORD-00357</t>
  </si>
  <si>
    <t>ORD-00215</t>
  </si>
  <si>
    <t>ORD-00671</t>
  </si>
  <si>
    <t>ORD-00866</t>
  </si>
  <si>
    <t>ORD-00460</t>
  </si>
  <si>
    <t>ORD-00046</t>
  </si>
  <si>
    <t>ORD-00297</t>
  </si>
  <si>
    <t>ORD-00434</t>
  </si>
  <si>
    <t>ORD-00075</t>
  </si>
  <si>
    <t>CUST-0003</t>
  </si>
  <si>
    <t>Customer 003</t>
  </si>
  <si>
    <t>ORD-00469</t>
  </si>
  <si>
    <t>ORD-00206</t>
  </si>
  <si>
    <t>ORD-00389</t>
  </si>
  <si>
    <t>ORD-00760</t>
  </si>
  <si>
    <t>CUST-0054</t>
  </si>
  <si>
    <t>Customer 054</t>
  </si>
  <si>
    <t>ORD-00783</t>
  </si>
  <si>
    <t>ORD-00047</t>
  </si>
  <si>
    <t>ORD-00618</t>
  </si>
  <si>
    <t>ORD-00564</t>
  </si>
  <si>
    <t>ORD-00393</t>
  </si>
  <si>
    <t>ORD-00907</t>
  </si>
  <si>
    <t>CUST-0009</t>
  </si>
  <si>
    <t>Customer 009</t>
  </si>
  <si>
    <t>ORD-00794</t>
  </si>
  <si>
    <t>ORD-00632</t>
  </si>
  <si>
    <t>ORD-00677</t>
  </si>
  <si>
    <t>ORD-00993</t>
  </si>
  <si>
    <t>ORD-00022</t>
  </si>
  <si>
    <t>ORD-00375</t>
  </si>
  <si>
    <t>ORD-00924</t>
  </si>
  <si>
    <t>CUST-0143</t>
  </si>
  <si>
    <t>Customer 143</t>
  </si>
  <si>
    <t>ORD-00904</t>
  </si>
  <si>
    <t>CUST-0127</t>
  </si>
  <si>
    <t>Customer 127</t>
  </si>
  <si>
    <t>ORD-00895</t>
  </si>
  <si>
    <t>CUST-0213</t>
  </si>
  <si>
    <t>Customer 213</t>
  </si>
  <si>
    <t>ORD-00345</t>
  </si>
  <si>
    <t>ORD-00286</t>
  </si>
  <si>
    <t>ORD-00578</t>
  </si>
  <si>
    <t>ORD-00599</t>
  </si>
  <si>
    <t>CUST-0120</t>
  </si>
  <si>
    <t>Customer 120</t>
  </si>
  <si>
    <t>ORD-00477</t>
  </si>
  <si>
    <t>ORD-00405</t>
  </si>
  <si>
    <t>ORD-00415</t>
  </si>
  <si>
    <t>ORD-00551</t>
  </si>
  <si>
    <t>CUST-0106</t>
  </si>
  <si>
    <t>Customer 106</t>
  </si>
  <si>
    <t>ORD-00147</t>
  </si>
  <si>
    <t>CUST-0014</t>
  </si>
  <si>
    <t>Customer 014</t>
  </si>
  <si>
    <t>ORD-00390</t>
  </si>
  <si>
    <t>ORD-00095</t>
  </si>
  <si>
    <t>CUST-0144</t>
  </si>
  <si>
    <t>Customer 144</t>
  </si>
  <si>
    <t>ORD-00720</t>
  </si>
  <si>
    <t>ORD-00114</t>
  </si>
  <si>
    <t>CUST-0068</t>
  </si>
  <si>
    <t>Customer 068</t>
  </si>
  <si>
    <t>ORD-00954</t>
  </si>
  <si>
    <t>ORD-00278</t>
  </si>
  <si>
    <t>ORD-00977</t>
  </si>
  <si>
    <t>ORD-00222</t>
  </si>
  <si>
    <t>CUST-0079</t>
  </si>
  <si>
    <t>Customer 079</t>
  </si>
  <si>
    <t>ORD-00073</t>
  </si>
  <si>
    <t>ORD-00448</t>
  </si>
  <si>
    <t>CUST-0109</t>
  </si>
  <si>
    <t>Customer 109</t>
  </si>
  <si>
    <t>ORD-00004</t>
  </si>
  <si>
    <t>ORD-00884</t>
  </si>
  <si>
    <t>ORD-00906</t>
  </si>
  <si>
    <t>ORD-00745</t>
  </si>
  <si>
    <t>ORD-01000</t>
  </si>
  <si>
    <t>ORD-00346</t>
  </si>
  <si>
    <t>ORD-00974</t>
  </si>
  <si>
    <t>ORD-00559</t>
  </si>
  <si>
    <t>CUST-0080</t>
  </si>
  <si>
    <t>Customer 080</t>
  </si>
  <si>
    <t>ORD-00333</t>
  </si>
  <si>
    <t>ORD-00801</t>
  </si>
  <si>
    <t>ORD-00856</t>
  </si>
  <si>
    <t>ORD-00876</t>
  </si>
  <si>
    <t>ORD-00839</t>
  </si>
  <si>
    <t>ORD-00710</t>
  </si>
  <si>
    <t>ORD-00621</t>
  </si>
  <si>
    <t>ORD-00871</t>
  </si>
  <si>
    <t>ORD-00550</t>
  </si>
  <si>
    <t>ORD-00200</t>
  </si>
  <si>
    <t>ORD-00098</t>
  </si>
  <si>
    <t>ORD-00307</t>
  </si>
  <si>
    <t>ORD-00779</t>
  </si>
  <si>
    <t>ORD-00756</t>
  </si>
  <si>
    <t>ORD-00818</t>
  </si>
  <si>
    <t>ORD-00015</t>
  </si>
  <si>
    <t>ORD-00174</t>
  </si>
  <si>
    <t>ORD-00459</t>
  </si>
  <si>
    <t>ORD-00917</t>
  </si>
  <si>
    <t>ORD-00213</t>
  </si>
  <si>
    <t>ORD-00665</t>
  </si>
  <si>
    <t>ORD-00285</t>
  </si>
  <si>
    <t>ORD-00171</t>
  </si>
  <si>
    <t>ORD-00270</t>
  </si>
  <si>
    <t>ORD-00887</t>
  </si>
  <si>
    <t>ORD-00865</t>
  </si>
  <si>
    <t>ORD-00251</t>
  </si>
  <si>
    <t>ORD-00306</t>
  </si>
  <si>
    <t>ORD-00488</t>
  </si>
  <si>
    <t>ORD-00639</t>
  </si>
  <si>
    <t>ORD-00709</t>
  </si>
  <si>
    <t>CUST-0128</t>
  </si>
  <si>
    <t>Customer 128</t>
  </si>
  <si>
    <t>ORD-00225</t>
  </si>
  <si>
    <t>CUST-0042</t>
  </si>
  <si>
    <t>Customer 042</t>
  </si>
  <si>
    <t>ORD-00007</t>
  </si>
  <si>
    <t>ORD-00129</t>
  </si>
  <si>
    <t>ORD-00602</t>
  </si>
  <si>
    <t>ORD-00131</t>
  </si>
  <si>
    <t>ORD-00233</t>
  </si>
  <si>
    <t>CUST-0004</t>
  </si>
  <si>
    <t>Customer 004</t>
  </si>
  <si>
    <t>ORD-00748</t>
  </si>
  <si>
    <t>ORD-00941</t>
  </si>
  <si>
    <t>ORD-00503</t>
  </si>
  <si>
    <t>ORD-00769</t>
  </si>
  <si>
    <t>ORD-00207</t>
  </si>
  <si>
    <t>ORD-00981</t>
  </si>
  <si>
    <t>ORD-00653</t>
  </si>
  <si>
    <t>ORD-00305</t>
  </si>
  <si>
    <t>ORD-00546</t>
  </si>
  <si>
    <t>CUST-0112</t>
  </si>
  <si>
    <t>Customer 112</t>
  </si>
  <si>
    <t>ORD-00732</t>
  </si>
  <si>
    <t>ORD-00194</t>
  </si>
  <si>
    <t>ORD-00583</t>
  </si>
  <si>
    <t>ORD-00988</t>
  </si>
  <si>
    <t>ORD-00811</t>
  </si>
  <si>
    <t>ORD-00456</t>
  </si>
  <si>
    <t>ORD-00647</t>
  </si>
  <si>
    <t>ORD-00751</t>
  </si>
  <si>
    <t>ORD-00160</t>
  </si>
  <si>
    <t>ORD-00880</t>
  </si>
  <si>
    <t>ORD-00531</t>
  </si>
  <si>
    <t>ORD-00875</t>
  </si>
  <si>
    <t>CUST-0175</t>
  </si>
  <si>
    <t>Customer 175</t>
  </si>
  <si>
    <t>ORD-00757</t>
  </si>
  <si>
    <t>ORD-00400</t>
  </si>
  <si>
    <t>ORD-00192</t>
  </si>
  <si>
    <t>ORD-00494</t>
  </si>
  <si>
    <t>CUST-0075</t>
  </si>
  <si>
    <t>Customer 075</t>
  </si>
  <si>
    <t>ORD-00092</t>
  </si>
  <si>
    <t>ORD-00934</t>
  </si>
  <si>
    <t>ORD-00387</t>
  </si>
  <si>
    <t>ORD-00574</t>
  </si>
  <si>
    <t>ORD-00245</t>
  </si>
  <si>
    <t>ORD-00103</t>
  </si>
  <si>
    <t>ORD-00458</t>
  </si>
  <si>
    <t>ORD-00115</t>
  </si>
  <si>
    <t>ORD-00155</t>
  </si>
  <si>
    <t>ORD-00126</t>
  </si>
  <si>
    <t>ORD-00694</t>
  </si>
  <si>
    <t>ORD-00435</t>
  </si>
  <si>
    <t>ORD-00372</t>
  </si>
  <si>
    <t>ORD-00736</t>
  </si>
  <si>
    <t>ORD-00874</t>
  </si>
  <si>
    <t>ORD-00840</t>
  </si>
  <si>
    <t>ORD-00918</t>
  </si>
  <si>
    <t>ORD-00359</t>
  </si>
  <si>
    <t>ORD-00431</t>
  </si>
  <si>
    <t>ORD-00552</t>
  </si>
  <si>
    <t>ORD-00150</t>
  </si>
  <si>
    <t>ORD-00437</t>
  </si>
  <si>
    <t>ORD-00971</t>
  </si>
  <si>
    <t>ORD-00975</t>
  </si>
  <si>
    <t>ORD-00479</t>
  </si>
  <si>
    <t>ORD-00637</t>
  </si>
  <si>
    <t>ORD-00140</t>
  </si>
  <si>
    <t>ORD-00032</t>
  </si>
  <si>
    <t>ORD-00453</t>
  </si>
  <si>
    <t>ORD-00731</t>
  </si>
  <si>
    <t>ORD-00538</t>
  </si>
  <si>
    <t>ORD-00910</t>
  </si>
  <si>
    <t>CUST-0150</t>
  </si>
  <si>
    <t>Customer 150</t>
  </si>
  <si>
    <t>ORD-00612</t>
  </si>
  <si>
    <t>ORD-00062</t>
  </si>
  <si>
    <t>ORD-00088</t>
  </si>
  <si>
    <t>ORD-00556</t>
  </si>
  <si>
    <t>ORD-00802</t>
  </si>
  <si>
    <t>ORD-00882</t>
  </si>
  <si>
    <t>ORD-00695</t>
  </si>
  <si>
    <t>ORD-00179</t>
  </si>
  <si>
    <t>ORD-00600</t>
  </si>
  <si>
    <t>CUST-0200</t>
  </si>
  <si>
    <t>Customer 200</t>
  </si>
  <si>
    <t>ORD-00952</t>
  </si>
  <si>
    <t>ORD-00919</t>
  </si>
  <si>
    <t>ORD-00793</t>
  </si>
  <si>
    <t>ORD-00317</t>
  </si>
  <si>
    <t>ORD-00922</t>
  </si>
  <si>
    <t>ORD-00422</t>
  </si>
  <si>
    <t>CUST-0085</t>
  </si>
  <si>
    <t>Customer 085</t>
  </si>
  <si>
    <t>ORD-00825</t>
  </si>
  <si>
    <t>ORD-00781</t>
  </si>
  <si>
    <t>ORD-00877</t>
  </si>
  <si>
    <t>ORD-00141</t>
  </si>
  <si>
    <t>ORD-00864</t>
  </si>
  <si>
    <t>ORD-00879</t>
  </si>
  <si>
    <t>ORD-00914</t>
  </si>
  <si>
    <t>ORD-00127</t>
  </si>
  <si>
    <t>ORD-00662</t>
  </si>
  <si>
    <t>ORD-00589</t>
  </si>
  <si>
    <t>ORD-00329</t>
  </si>
  <si>
    <t>ORD-00773</t>
  </si>
  <si>
    <t>ORD-00780</t>
  </si>
  <si>
    <t>ORD-00626</t>
  </si>
  <si>
    <t>ORD-00623</t>
  </si>
  <si>
    <t>ORD-00063</t>
  </si>
  <si>
    <t>ORD-00053</t>
  </si>
  <si>
    <t>ORD-00920</t>
  </si>
  <si>
    <t>ORD-00299</t>
  </si>
  <si>
    <t>ORD-00867</t>
  </si>
  <si>
    <t>ORD-00582</t>
  </si>
  <si>
    <t>ORD-00945</t>
  </si>
  <si>
    <t>ORD-00799</t>
  </si>
  <si>
    <t>ORD-00846</t>
  </si>
  <si>
    <t>ORD-00949</t>
  </si>
  <si>
    <t>ORD-00239</t>
  </si>
  <si>
    <t>ORD-00669</t>
  </si>
  <si>
    <t>ORD-00761</t>
  </si>
  <si>
    <t>ORD-00388</t>
  </si>
  <si>
    <t>ORD-00789</t>
  </si>
  <si>
    <t>ORD-00684</t>
  </si>
  <si>
    <t>CUST-0114</t>
  </si>
  <si>
    <t>Customer 114</t>
  </si>
  <si>
    <t>ORD-00749</t>
  </si>
  <si>
    <t>CUST-0057</t>
  </si>
  <si>
    <t>Customer 057</t>
  </si>
  <si>
    <t>ORD-00232</t>
  </si>
  <si>
    <t>ORD-00813</t>
  </si>
  <si>
    <t>ORD-00670</t>
  </si>
  <si>
    <t>ORD-00014</t>
  </si>
  <si>
    <t>ORD-00246</t>
  </si>
  <si>
    <t>ORD-00091</t>
  </si>
  <si>
    <t>ORD-00249</t>
  </si>
  <si>
    <t>ORD-00313</t>
  </si>
  <si>
    <t>ORD-00370</t>
  </si>
  <si>
    <t>ORD-00815</t>
  </si>
  <si>
    <t>ORD-00005</t>
  </si>
  <si>
    <t>ORD-00066</t>
  </si>
  <si>
    <t>ORD-00891</t>
  </si>
  <si>
    <t>CUST-0149</t>
  </si>
  <si>
    <t>Customer 149</t>
  </si>
  <si>
    <t>ORD-00750</t>
  </si>
  <si>
    <t>ORD-00501</t>
  </si>
  <si>
    <t>ORD-00195</t>
  </si>
  <si>
    <t>ORD-00579</t>
  </si>
  <si>
    <t>ORD-00973</t>
  </si>
  <si>
    <t>ORD-00765</t>
  </si>
  <si>
    <t>ORD-00523</t>
  </si>
  <si>
    <t>ORD-00478</t>
  </si>
  <si>
    <t>ORD-00156</t>
  </si>
  <si>
    <t>ORD-00704</t>
  </si>
  <si>
    <t>ORD-00482</t>
  </si>
  <si>
    <t>CUST-0153</t>
  </si>
  <si>
    <t>Customer 153</t>
  </si>
  <si>
    <t>ORD-00120</t>
  </si>
  <si>
    <t>ORD-00272</t>
  </si>
  <si>
    <t>CUST-0102</t>
  </si>
  <si>
    <t>Customer 102</t>
  </si>
  <si>
    <t>ORD-00822</t>
  </si>
  <si>
    <t>ORD-00771</t>
  </si>
  <si>
    <t>ORD-00678</t>
  </si>
  <si>
    <t>ORD-00294</t>
  </si>
  <si>
    <t>ORD-00158</t>
  </si>
  <si>
    <t>ORD-00500</t>
  </si>
  <si>
    <t>ORD-00325</t>
  </si>
  <si>
    <t>ORD-00950</t>
  </si>
  <si>
    <t>ORD-00124</t>
  </si>
  <si>
    <t>ORD-00214</t>
  </si>
  <si>
    <t>ORD-00656</t>
  </si>
  <si>
    <t>CUST-0248</t>
  </si>
  <si>
    <t>Customer 248</t>
  </si>
  <si>
    <t>ORD-00391</t>
  </si>
  <si>
    <t>ORD-00536</t>
  </si>
  <si>
    <t>ORD-00942</t>
  </si>
  <si>
    <t>ORD-00048</t>
  </si>
  <si>
    <t>ORD-00667</t>
  </si>
  <si>
    <t>ORD-00560</t>
  </si>
  <si>
    <t>ORD-00356</t>
  </si>
  <si>
    <t>ORD-00451</t>
  </si>
  <si>
    <t>ORD-00071</t>
  </si>
  <si>
    <t>CUST-0198</t>
  </si>
  <si>
    <t>Customer 198</t>
  </si>
  <si>
    <t>ORD-00719</t>
  </si>
  <si>
    <t>ORD-00344</t>
  </si>
  <si>
    <t>ORD-00961</t>
  </si>
  <si>
    <t>ORD-00620</t>
  </si>
  <si>
    <t>ORD-00108</t>
  </si>
  <si>
    <t>ORD-00254</t>
  </si>
  <si>
    <t>ORD-00025</t>
  </si>
  <si>
    <t>ORD-00717</t>
  </si>
  <si>
    <t>ORD-00873</t>
  </si>
  <si>
    <t>ORD-00072</t>
  </si>
  <si>
    <t>ORD-00705</t>
  </si>
  <si>
    <t>ORD-00541</t>
  </si>
  <si>
    <t>ORD-00890</t>
  </si>
  <si>
    <t>ORD-00094</t>
  </si>
  <si>
    <t>ORD-00167</t>
  </si>
  <si>
    <t>ORD-00252</t>
  </si>
  <si>
    <t>ORD-00643</t>
  </si>
  <si>
    <t>ORD-00805</t>
  </si>
  <si>
    <t>ORD-00006</t>
  </si>
  <si>
    <t>ORD-00498</t>
  </si>
  <si>
    <t>ORD-00362</t>
  </si>
  <si>
    <t>ORD-00622</t>
  </si>
  <si>
    <t>ORD-00972</t>
  </si>
  <si>
    <t>ORD-00042</t>
  </si>
  <si>
    <t>ORD-00996</t>
  </si>
  <si>
    <t>ORD-00442</t>
  </si>
  <si>
    <t>ORD-00085</t>
  </si>
  <si>
    <t>ORD-00045</t>
  </si>
  <si>
    <t>ORD-00044</t>
  </si>
  <si>
    <t>ORD-00549</t>
  </si>
  <si>
    <t>ORD-00537</t>
  </si>
  <si>
    <t>CUST-0006</t>
  </si>
  <si>
    <t>Customer 006</t>
  </si>
  <si>
    <t>ORD-00112</t>
  </si>
  <si>
    <t>ORD-00512</t>
  </si>
  <si>
    <t>ORD-00287</t>
  </si>
  <si>
    <t>ORD-00984</t>
  </si>
  <si>
    <t>ORD-00427</t>
  </si>
  <si>
    <t>CUST-0019</t>
  </si>
  <si>
    <t>Customer 019</t>
  </si>
  <si>
    <t>ORD-00365</t>
  </si>
  <si>
    <t>ORD-00844</t>
  </si>
  <si>
    <t>ORD-00706</t>
  </si>
  <si>
    <t>ORD-00109</t>
  </si>
  <si>
    <t>ORD-00836</t>
  </si>
  <si>
    <t>ORD-00308</t>
  </si>
  <si>
    <t>ORD-00087</t>
  </si>
  <si>
    <t>ORD-00188</t>
  </si>
  <si>
    <t>ORD-00754</t>
  </si>
  <si>
    <t>ORD-00371</t>
  </si>
  <si>
    <t>ORD-00439</t>
  </si>
  <si>
    <t>ORD-00030</t>
  </si>
  <si>
    <t>ORD-00869</t>
  </si>
  <si>
    <t>CUST-0123</t>
  </si>
  <si>
    <t>Customer 123</t>
  </si>
  <si>
    <t>ORD-00987</t>
  </si>
  <si>
    <t>ORD-00547</t>
  </si>
  <si>
    <t>ORD-00603</t>
  </si>
  <si>
    <t>ORD-00250</t>
  </si>
  <si>
    <t>CUST-0202</t>
  </si>
  <si>
    <t>Customer 202</t>
  </si>
  <si>
    <t>ORD-00734</t>
  </si>
  <si>
    <t>ORD-00688</t>
  </si>
  <si>
    <t>ORD-00821</t>
  </si>
  <si>
    <t>ORD-00681</t>
  </si>
  <si>
    <t>ORD-00113</t>
  </si>
  <si>
    <t>ORD-00350</t>
  </si>
  <si>
    <t>ORD-00018</t>
  </si>
  <si>
    <t>ORD-00581</t>
  </si>
  <si>
    <t>CUST-0067</t>
  </si>
  <si>
    <t>Customer 067</t>
  </si>
  <si>
    <t>ORD-00946</t>
  </si>
  <si>
    <t>ORD-00829</t>
  </si>
  <si>
    <t>ORD-00505</t>
  </si>
  <si>
    <t>ORD-00683</t>
  </si>
  <si>
    <t>ORD-00852</t>
  </si>
  <si>
    <t>ORD-00418</t>
  </si>
  <si>
    <t>ORD-00650</t>
  </si>
  <si>
    <t>ORD-00909</t>
  </si>
  <si>
    <t>ORD-00343</t>
  </si>
  <si>
    <t>ORD-00237</t>
  </si>
  <si>
    <t>ORD-00725</t>
  </si>
  <si>
    <t>ORD-00970</t>
  </si>
  <si>
    <t>ORD-00301</t>
  </si>
  <si>
    <t>ORD-00999</t>
  </si>
  <si>
    <t>ORD-00180</t>
  </si>
  <si>
    <t>ORD-00716</t>
  </si>
  <si>
    <t>ORD-00778</t>
  </si>
  <si>
    <t>ORD-00413</t>
  </si>
  <si>
    <t>ORD-00240</t>
  </si>
  <si>
    <t>ORD-00170</t>
  </si>
  <si>
    <t>ORD-00575</t>
  </si>
  <si>
    <t>ORD-00655</t>
  </si>
  <si>
    <t>ORD-00850</t>
  </si>
  <si>
    <t>ORD-00782</t>
  </si>
  <si>
    <t>ORD-00763</t>
  </si>
  <si>
    <t>ORD-00352</t>
  </si>
  <si>
    <t>ORD-00843</t>
  </si>
  <si>
    <t>ORD-00530</t>
  </si>
  <si>
    <t>ORD-00545</t>
  </si>
  <si>
    <t>ORD-00814</t>
  </si>
  <si>
    <t>ORD-00058</t>
  </si>
  <si>
    <t>ORD-00238</t>
  </si>
  <si>
    <t>ORD-00275</t>
  </si>
  <si>
    <t>ORD-00689</t>
  </si>
  <si>
    <t>ORD-00854</t>
  </si>
  <si>
    <t>ORD-00516</t>
  </si>
  <si>
    <t>ORD-00474</t>
  </si>
  <si>
    <t>CUST-0051</t>
  </si>
  <si>
    <t>Customer 051</t>
  </si>
  <si>
    <t>ORD-00257</t>
  </si>
  <si>
    <t>ORD-00475</t>
  </si>
  <si>
    <t>CUST-0037</t>
  </si>
  <si>
    <t>Customer 037</t>
  </si>
  <si>
    <t>ORD-00808</t>
  </si>
  <si>
    <t>ORD-00132</t>
  </si>
  <si>
    <t>ORD-00722</t>
  </si>
  <si>
    <t>ORD-00775</t>
  </si>
  <si>
    <t>ORD-00100</t>
  </si>
  <si>
    <t>ORD-00534</t>
  </si>
  <si>
    <t>ORD-00755</t>
  </si>
  <si>
    <t>ORD-00692</t>
  </si>
  <si>
    <t>ORD-00542</t>
  </si>
  <si>
    <t>ORD-00733</t>
  </si>
  <si>
    <t>ORD-00978</t>
  </si>
  <si>
    <t>ORD-00059</t>
  </si>
  <si>
    <t>ORD-00696</t>
  </si>
  <si>
    <t>ORD-00504</t>
  </si>
  <si>
    <t>ORD-00806</t>
  </si>
  <si>
    <t>ORD-00193</t>
  </si>
  <si>
    <t>ORD-00701</t>
  </si>
  <si>
    <t>ORD-00274</t>
  </si>
  <si>
    <t>ORD-00385</t>
  </si>
  <si>
    <t>ORD-00798</t>
  </si>
  <si>
    <t>ORD-00349</t>
  </si>
  <si>
    <t>ORD-00515</t>
  </si>
  <si>
    <t>ORD-00797</t>
  </si>
  <si>
    <t>ORD-00175</t>
  </si>
  <si>
    <t>ORD-00872</t>
  </si>
  <si>
    <t>ORD-00964</t>
  </si>
  <si>
    <t>ORD-00102</t>
  </si>
  <si>
    <t>CUST-0193</t>
  </si>
  <si>
    <t>Customer 193</t>
  </si>
  <si>
    <t>ORD-00276</t>
  </si>
  <si>
    <t>ORD-00050</t>
  </si>
  <si>
    <t>ORD-00842</t>
  </si>
  <si>
    <t>ORD-00893</t>
  </si>
  <si>
    <t>ORD-00936</t>
  </si>
  <si>
    <t>ORD-00658</t>
  </si>
  <si>
    <t>ORD-00057</t>
  </si>
  <si>
    <t>ORD-00968</t>
  </si>
  <si>
    <t>ORD-00011</t>
  </si>
  <si>
    <t>ORD-00851</t>
  </si>
  <si>
    <t>ORD-00201</t>
  </si>
  <si>
    <t>ORD-00652</t>
  </si>
  <si>
    <t>ORD-00994</t>
  </si>
  <si>
    <t>ORD-00592</t>
  </si>
  <si>
    <t>ORD-00832</t>
  </si>
  <si>
    <t>ORD-00703</t>
  </si>
  <si>
    <t>ORD-00226</t>
  </si>
  <si>
    <t>ORD-00402</t>
  </si>
  <si>
    <t>ORD-00401</t>
  </si>
  <si>
    <t>ORD-00277</t>
  </si>
  <si>
    <t>ORD-00713</t>
  </si>
  <si>
    <t>ORD-00292</t>
  </si>
  <si>
    <t>ORD-00009</t>
  </si>
  <si>
    <t>ORD-00398</t>
  </si>
  <si>
    <t>ORD-00016</t>
  </si>
  <si>
    <t>ORD-00772</t>
  </si>
  <si>
    <t>ORD-00584</t>
  </si>
  <si>
    <t>ORD-00881</t>
  </si>
  <si>
    <t>ORD-00326</t>
  </si>
  <si>
    <t>ORD-00927</t>
  </si>
  <si>
    <t>ORD-00425</t>
  </si>
  <si>
    <t>ORD-00509</t>
  </si>
  <si>
    <t>ORD-00937</t>
  </si>
  <si>
    <t>ORD-00089</t>
  </si>
  <si>
    <t>ORD-00742</t>
  </si>
  <si>
    <t>ORD-00969</t>
  </si>
  <si>
    <t>ORD-00666</t>
  </si>
  <si>
    <t>ORD-00513</t>
  </si>
  <si>
    <t>ORD-00110</t>
  </si>
  <si>
    <t>ORD-00315</t>
  </si>
  <si>
    <t>ORD-00026</t>
  </si>
  <si>
    <t>ORD-00896</t>
  </si>
  <si>
    <t>ORD-00203</t>
  </si>
  <si>
    <t>CUST-0169</t>
  </si>
  <si>
    <t>Customer 169</t>
  </si>
  <si>
    <t>ORD-00566</t>
  </si>
  <si>
    <t>ORD-00128</t>
  </si>
  <si>
    <t>ORD-00786</t>
  </si>
  <si>
    <t>ORD-00230</t>
  </si>
  <si>
    <t>ORD-00197</t>
  </si>
  <si>
    <t>ORD-00648</t>
  </si>
  <si>
    <t>ORD-00198</t>
  </si>
  <si>
    <t>ORD-00020</t>
  </si>
  <si>
    <t>ORD-00119</t>
  </si>
  <si>
    <t>ORD-00807</t>
  </si>
  <si>
    <t>ORD-00986</t>
  </si>
  <si>
    <t>ORD-00408</t>
  </si>
  <si>
    <t>ORD-00955</t>
  </si>
  <si>
    <t>ORD-00492</t>
  </si>
  <si>
    <t>ORD-00791</t>
  </si>
  <si>
    <t>ORD-00397</t>
  </si>
  <si>
    <t>ORD-00407</t>
  </si>
  <si>
    <t>ORD-00283</t>
  </si>
  <si>
    <t>ORD-00570</t>
  </si>
  <si>
    <t>ORD-00260</t>
  </si>
  <si>
    <t>ORD-00096</t>
  </si>
  <si>
    <t>ORD-00900</t>
  </si>
  <si>
    <t>ORD-00136</t>
  </si>
  <si>
    <t>ORD-00958</t>
  </si>
  <si>
    <t>ORD-00838</t>
  </si>
  <si>
    <t>ORD-00858</t>
  </si>
  <si>
    <t>ORD-00686</t>
  </si>
  <si>
    <t>ORD-00561</t>
  </si>
  <si>
    <t>ORD-00841</t>
  </si>
  <si>
    <t>ORD-00291</t>
  </si>
  <si>
    <t>ORD-00314</t>
  </si>
  <si>
    <t>ORD-00963</t>
  </si>
  <si>
    <t>ORD-00360</t>
  </si>
  <si>
    <t>ORD-00069</t>
  </si>
  <si>
    <t>ORD-00118</t>
  </si>
  <si>
    <t>ORD-00616</t>
  </si>
  <si>
    <t>ORD-00105</t>
  </si>
  <si>
    <t>ORD-00483</t>
  </si>
  <si>
    <t>ORD-00445</t>
  </si>
  <si>
    <t>ORD-00410</t>
  </si>
  <si>
    <t>CUST-0162</t>
  </si>
  <si>
    <t>Customer 162</t>
  </si>
  <si>
    <t>ORD-00190</t>
  </si>
  <si>
    <t>ORD-00023</t>
  </si>
  <si>
    <t>ORD-00302</t>
  </si>
  <si>
    <t>ORD-00151</t>
  </si>
  <si>
    <t>ORD-00857</t>
  </si>
  <si>
    <t>ORD-00615</t>
  </si>
  <si>
    <t>ORD-00834</t>
  </si>
  <si>
    <t>ORD-00420</t>
  </si>
  <si>
    <t>ORD-00176</t>
  </si>
  <si>
    <t>ORD-00486</t>
  </si>
  <si>
    <t>ORD-00587</t>
  </si>
  <si>
    <t>ORD-00812</t>
  </si>
  <si>
    <t>ORD-00027</t>
  </si>
  <si>
    <t>ORD-00833</t>
  </si>
  <si>
    <t>ORD-00374</t>
  </si>
  <si>
    <t>ORD-00227</t>
  </si>
  <si>
    <t>ORD-00860</t>
  </si>
  <si>
    <t>ORD-00555</t>
  </si>
  <si>
    <t>ORD-00983</t>
  </si>
  <si>
    <t>ORD-00985</t>
  </si>
  <si>
    <t>ORD-00991</t>
  </si>
  <si>
    <t>ORD-00640</t>
  </si>
  <si>
    <t>ORD-00298</t>
  </si>
  <si>
    <t>ORD-00533</t>
  </si>
  <si>
    <t>ORD-00735</t>
  </si>
  <si>
    <t>ORD-00013</t>
  </si>
  <si>
    <t>ORD-00043</t>
  </si>
  <si>
    <t>ORD-00868</t>
  </si>
  <si>
    <t>ORD-00916</t>
  </si>
  <si>
    <t>ORD-00912</t>
  </si>
  <si>
    <t>ORD-00645</t>
  </si>
  <si>
    <t>ORD-00133</t>
  </si>
  <si>
    <t>ORD-00284</t>
  </si>
  <si>
    <t>ORD-00446</t>
  </si>
  <si>
    <t>ORD-00685</t>
  </si>
  <si>
    <t>ORD-00290</t>
  </si>
  <si>
    <t>ORD-00562</t>
  </si>
  <si>
    <t>ORD-00335</t>
  </si>
  <si>
    <t>ORD-00293</t>
  </si>
  <si>
    <t>ORD-00381</t>
  </si>
  <si>
    <t>ORD-00471</t>
  </si>
  <si>
    <t>ORD-00568</t>
  </si>
  <si>
    <t>ORD-00424</t>
  </si>
  <si>
    <t>ORD-00966</t>
  </si>
  <si>
    <t>ORD-00052</t>
  </si>
  <si>
    <t>ORD-00913</t>
  </si>
  <si>
    <t>ORD-00282</t>
  </si>
  <si>
    <t>ORD-00511</t>
  </si>
  <si>
    <t>ORD-00613</t>
  </si>
  <si>
    <t>ORD-00341</t>
  </si>
  <si>
    <t>ORD-00944</t>
  </si>
  <si>
    <t>ORD-00070</t>
  </si>
  <si>
    <t>ORD-00229</t>
  </si>
  <si>
    <t>ORD-00522</t>
  </si>
  <si>
    <t>ORD-00473</t>
  </si>
  <si>
    <t>ORD-00183</t>
  </si>
  <si>
    <t>ORD-00526</t>
  </si>
  <si>
    <t>ORD-00157</t>
  </si>
  <si>
    <t>ORD-00373</t>
  </si>
  <si>
    <t>ORD-00784</t>
  </si>
  <si>
    <t>ORD-00903</t>
  </si>
  <si>
    <t>CUST-0105</t>
  </si>
  <si>
    <t>Customer 105</t>
  </si>
  <si>
    <t>ORD-00054</t>
  </si>
  <si>
    <t>ORD-00608</t>
  </si>
  <si>
    <t>ORD-00928</t>
  </si>
  <si>
    <t>ORD-00929</t>
  </si>
  <si>
    <t>ORD-00386</t>
  </si>
  <si>
    <t>ORD-00675</t>
  </si>
  <si>
    <t>ORD-00956</t>
  </si>
  <si>
    <t>ORD-00845</t>
  </si>
  <si>
    <t>ORD-00236</t>
  </si>
  <si>
    <t>ORD-00097</t>
  </si>
  <si>
    <t>ORD-00989</t>
  </si>
  <si>
    <t>CUST-0212</t>
  </si>
  <si>
    <t>Customer 212</t>
  </si>
  <si>
    <t>ORD-00338</t>
  </si>
  <si>
    <t>ORD-00337</t>
  </si>
  <si>
    <t>ORD-00144</t>
  </si>
  <si>
    <t>ORD-00430</t>
  </si>
  <si>
    <t>ORD-00082</t>
  </si>
  <si>
    <t>ORD-00077</t>
  </si>
  <si>
    <t>ORD-00364</t>
  </si>
  <si>
    <t>ORD-00572</t>
  </si>
  <si>
    <t>ORD-00450</t>
  </si>
  <si>
    <t>ORD-00644</t>
  </si>
  <si>
    <t>ORD-00186</t>
  </si>
  <si>
    <t>ORD-00953</t>
  </si>
  <si>
    <t>ORD-00466</t>
  </si>
  <si>
    <t>ORD-00261</t>
  </si>
  <si>
    <t>ORD-00321</t>
  </si>
  <si>
    <t>ORD-00426</t>
  </si>
  <si>
    <t>ORD-00412</t>
  </si>
  <si>
    <t>ORD-00718</t>
  </si>
  <si>
    <t>ORD-00135</t>
  </si>
  <si>
    <t>ORD-00265</t>
  </si>
  <si>
    <t>ORD-00532</t>
  </si>
  <si>
    <t>ORD-00630</t>
  </si>
  <si>
    <t>ORD-00785</t>
  </si>
  <si>
    <t>ORD-00309</t>
  </si>
  <si>
    <t>ORD-00055</t>
  </si>
  <si>
    <t>ORD-00979</t>
  </si>
  <si>
    <t>ORD-00894</t>
  </si>
  <si>
    <t>ORD-00729</t>
  </si>
  <si>
    <t>ORD-00330</t>
  </si>
  <si>
    <t>ORD-00173</t>
  </si>
  <si>
    <t>ORD-00196</t>
  </si>
  <si>
    <t>ORD-00003</t>
  </si>
  <si>
    <t>ORD-00316</t>
  </si>
  <si>
    <t>ORD-00452</t>
  </si>
  <si>
    <t>ORD-00212</t>
  </si>
  <si>
    <t>ORD-00377</t>
  </si>
  <si>
    <t>ORD-00800</t>
  </si>
  <si>
    <t>ORD-00883</t>
  </si>
  <si>
    <t>ORD-00269</t>
  </si>
  <si>
    <t>ORD-00817</t>
  </si>
  <si>
    <t>ORD-00831</t>
  </si>
  <si>
    <t>ORD-00976</t>
  </si>
  <si>
    <t>ORD-00143</t>
  </si>
  <si>
    <t>CUST-0211</t>
  </si>
  <si>
    <t>Customer 211</t>
  </si>
  <si>
    <t>ORD-00905</t>
  </si>
  <si>
    <t>ORD-00123</t>
  </si>
  <si>
    <t>ORD-00394</t>
  </si>
  <si>
    <t>ORD-00777</t>
  </si>
  <si>
    <t>ORD-00673</t>
  </si>
  <si>
    <t>ORD-00939</t>
  </si>
  <si>
    <t>ORD-00300</t>
  </si>
  <si>
    <t>ORD-00247</t>
  </si>
  <si>
    <t>ORD-00117</t>
  </si>
  <si>
    <t>ORD-00489</t>
  </si>
  <si>
    <t>ORD-00244</t>
  </si>
  <si>
    <t>ORD-00699</t>
  </si>
  <si>
    <t>ORD-00067</t>
  </si>
  <si>
    <t>ORD-00680</t>
  </si>
  <si>
    <t>ORD-00187</t>
  </si>
  <si>
    <t>ORD-00253</t>
  </si>
  <si>
    <t>ORD-00358</t>
  </si>
  <si>
    <t>ORD-00074</t>
  </si>
  <si>
    <t>ORD-00012</t>
  </si>
  <si>
    <t>ORD-00334</t>
  </si>
  <si>
    <t>ORD-00758</t>
  </si>
  <si>
    <t>ORD-00399</t>
  </si>
  <si>
    <t>ORD-00024</t>
  </si>
  <si>
    <t>ORD-00311</t>
  </si>
  <si>
    <t>ORD-00837</t>
  </si>
  <si>
    <t>ORD-00943</t>
  </si>
  <si>
    <t>ORD-00327</t>
  </si>
  <si>
    <t>ORD-00361</t>
  </si>
  <si>
    <t>ORD-00205</t>
  </si>
  <si>
    <t>CUST-0138</t>
  </si>
  <si>
    <t>Customer 138</t>
  </si>
  <si>
    <t>ORD-00266</t>
  </si>
  <si>
    <t>ORD-00231</t>
  </si>
  <si>
    <t>ORD-00078</t>
  </si>
  <si>
    <t>ORD-00527</t>
  </si>
  <si>
    <t>ORD-00585</t>
  </si>
  <si>
    <t>ORD-00139</t>
  </si>
  <si>
    <t>ORD-00698</t>
  </si>
  <si>
    <t>ORD-00159</t>
  </si>
  <si>
    <t>ORD-00849</t>
  </si>
  <si>
    <t>ORD-00591</t>
  </si>
  <si>
    <t>ORD-00493</t>
  </si>
  <si>
    <t>ORD-00727</t>
  </si>
  <si>
    <t>ORD-00548</t>
  </si>
  <si>
    <t>ORD-00990</t>
  </si>
  <si>
    <t>ORD-00322</t>
  </si>
  <si>
    <t>ORD-00544</t>
  </si>
  <si>
    <t>ORD-00216</t>
  </si>
  <si>
    <t>ORD-00328</t>
  </si>
  <si>
    <t>ORD-00468</t>
  </si>
  <si>
    <t>ORD-00625</t>
  </si>
  <si>
    <t>ORD-00366</t>
  </si>
  <si>
    <t>ORD-00702</t>
  </si>
  <si>
    <t>ORD-00759</t>
  </si>
  <si>
    <t>ORD-00304</t>
  </si>
  <si>
    <t>ORD-00409</t>
  </si>
  <si>
    <t>ORD-00406</t>
  </si>
  <si>
    <t>ORD-00041</t>
  </si>
  <si>
    <t>ORD-00901</t>
  </si>
  <si>
    <t>ORD-00211</t>
  </si>
  <si>
    <t>ORD-00336</t>
  </si>
  <si>
    <t>ORD-00034</t>
  </si>
  <si>
    <t>ORD-00711</t>
  </si>
  <si>
    <t>ORD-00262</t>
  </si>
  <si>
    <t>ORD-00223</t>
  </si>
  <si>
    <t>ORD-00134</t>
  </si>
  <si>
    <t>ORD-00161</t>
  </si>
  <si>
    <t>ORD-00242</t>
  </si>
  <si>
    <t>Question</t>
  </si>
  <si>
    <t>Task</t>
  </si>
  <si>
    <t>BI Analyst Excel Practice — Questions</t>
  </si>
  <si>
    <t>Instructions</t>
  </si>
  <si>
    <t>Use the Sales_Data sheet to answer these questions. Avoid changing the raw data.</t>
  </si>
  <si>
    <t>Section 1 — Basic KPIs</t>
  </si>
  <si>
    <t>1</t>
  </si>
  <si>
    <t>Calculate Total Sales.</t>
  </si>
  <si>
    <t>2</t>
  </si>
  <si>
    <t>Calculate Total Cost.</t>
  </si>
  <si>
    <t>3</t>
  </si>
  <si>
    <t>Calculate Total Profit.</t>
  </si>
  <si>
    <t>4</t>
  </si>
  <si>
    <t>Calculate Total Orders.</t>
  </si>
  <si>
    <t>5</t>
  </si>
  <si>
    <t>Calculate Total Quantity Sold.</t>
  </si>
  <si>
    <t>6</t>
  </si>
  <si>
    <t>Calculate Average Order Value (AOV).</t>
  </si>
  <si>
    <t>7</t>
  </si>
  <si>
    <t>Calculate Profit Margin %.</t>
  </si>
  <si>
    <t>Section 2 — Business Analysis</t>
  </si>
  <si>
    <t>8</t>
  </si>
  <si>
    <t>Which region has the highest sales?</t>
  </si>
  <si>
    <t>9</t>
  </si>
  <si>
    <t>Which product generates the most profit?</t>
  </si>
  <si>
    <t>10</t>
  </si>
  <si>
    <t>Which salesperson has the highest sales?</t>
  </si>
  <si>
    <t>11</t>
  </si>
  <si>
    <t>Which product category has the highest profit margin?</t>
  </si>
  <si>
    <t>12</t>
  </si>
  <si>
    <t>Which month has the highest sales?</t>
  </si>
  <si>
    <t>13</t>
  </si>
  <si>
    <t>What percentage of orders were cancelled?</t>
  </si>
  <si>
    <t>14</t>
  </si>
  <si>
    <t>Which city generates the most revenue?</t>
  </si>
  <si>
    <t>15</t>
  </si>
  <si>
    <t>Which payment method is used most frequently?</t>
  </si>
  <si>
    <t>16</t>
  </si>
  <si>
    <t>What is the average discount by product category?</t>
  </si>
  <si>
    <t>17</t>
  </si>
  <si>
    <t>Which customer has the highest total sales?</t>
  </si>
  <si>
    <t>18</t>
  </si>
  <si>
    <t>What is the return rate by region?</t>
  </si>
  <si>
    <t>26</t>
  </si>
  <si>
    <t>Create KPI cards for Total Sales, Total Profit, Orders, and Profit Margin.</t>
  </si>
  <si>
    <t>27</t>
  </si>
  <si>
    <t>Create a column chart for Sales by Region.</t>
  </si>
  <si>
    <t>28</t>
  </si>
  <si>
    <t>Create a line chart for Monthly Sales.</t>
  </si>
  <si>
    <t>29</t>
  </si>
  <si>
    <t>Create a bar chart for Top 10 Products by Sales.</t>
  </si>
  <si>
    <t>30</t>
  </si>
  <si>
    <t>Create a donut/pie chart for Order Status.</t>
  </si>
  <si>
    <t>31</t>
  </si>
  <si>
    <t>Add slicers/filters for Region, Category, Salesperson, and Order Status if available.</t>
  </si>
  <si>
    <t>Regions</t>
  </si>
  <si>
    <t>Categories</t>
  </si>
  <si>
    <t>Salespeople</t>
  </si>
  <si>
    <t>CUST-0018</t>
  </si>
  <si>
    <t>Customer 018</t>
  </si>
  <si>
    <t>CUST-0024</t>
  </si>
  <si>
    <t>Customer 024</t>
  </si>
  <si>
    <t>CUST-0044</t>
  </si>
  <si>
    <t>Customer 044</t>
  </si>
  <si>
    <t>CUST-0092</t>
  </si>
  <si>
    <t>Customer 092</t>
  </si>
  <si>
    <t>CUST-0152</t>
  </si>
  <si>
    <t>Customer 152</t>
  </si>
  <si>
    <t>CUST-0156</t>
  </si>
  <si>
    <t>Customer 156</t>
  </si>
  <si>
    <t>Total Quantity</t>
  </si>
  <si>
    <t>Sum of Sales</t>
  </si>
  <si>
    <t>Row Labels</t>
  </si>
  <si>
    <t>Grand Total</t>
  </si>
  <si>
    <t>April</t>
  </si>
  <si>
    <t>Yangon 9.63%</t>
  </si>
  <si>
    <t>Jan</t>
  </si>
  <si>
    <t>Feb</t>
  </si>
  <si>
    <t>Mar</t>
  </si>
  <si>
    <t>Apr</t>
  </si>
  <si>
    <t>May</t>
  </si>
  <si>
    <t>Jun</t>
  </si>
  <si>
    <t>Jul</t>
  </si>
  <si>
    <t>Aug</t>
  </si>
  <si>
    <t>Sep</t>
  </si>
  <si>
    <t>Oct</t>
  </si>
  <si>
    <t>Nov</t>
  </si>
  <si>
    <t>Dec</t>
  </si>
  <si>
    <t>Sum of Quantity</t>
  </si>
  <si>
    <t xml:space="preserve">Total Revenue </t>
  </si>
  <si>
    <t>Section 3 —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</si>
</sst>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yyyy\-mm\-dd"/>
    <numFmt numFmtId="165" formatCode="_(* #,##0_);_(* \(#,##0\);_(* &quot;-&quot;??_);_(@_)"/>
    <numFmt numFmtId="166" formatCode="#,##0,&quot;K&quot;"/>
    <numFmt numFmtId="167" formatCode="_(&quot;$&quot;* #,##0_);_(&quot;$&quot;* \(#,##0\);_(&quot;$&quot;* &quot;-&quot;??_);_(@_)"/>
  </numFmts>
  <fonts count="7" x14ac:knownFonts="1">
    <font>
      <sz val="11"/>
      <color theme="1"/>
      <name val="Calibri"/>
      <family val="2"/>
      <scheme val="minor"/>
    </font>
    <font>
      <b/>
      <sz val="11"/>
      <name val="Calibri"/>
      <family val="2"/>
    </font>
    <font>
      <b/>
      <sz val="11"/>
      <color rgb="FFFFFFFF"/>
      <name val="Calibri"/>
      <family val="2"/>
    </font>
    <font>
      <b/>
      <sz val="14"/>
      <color rgb="FFFFFFFF"/>
      <name val="Calibri"/>
      <family val="2"/>
    </font>
    <font>
      <sz val="11"/>
      <color theme="1"/>
      <name val="Calibri"/>
      <family val="2"/>
      <scheme val="minor"/>
    </font>
    <font>
      <b/>
      <sz val="11"/>
      <color theme="1"/>
      <name val="Calibri"/>
      <family val="2"/>
      <scheme val="minor"/>
    </font>
    <font>
      <sz val="11"/>
      <color theme="0"/>
      <name val="Calibri"/>
      <family val="2"/>
      <scheme val="minor"/>
    </font>
  </fonts>
  <fills count="8">
    <fill>
      <patternFill patternType="none"/>
    </fill>
    <fill>
      <patternFill patternType="gray125"/>
    </fill>
    <fill>
      <patternFill patternType="solid">
        <fgColor rgb="FF1F4E78"/>
      </patternFill>
    </fill>
    <fill>
      <patternFill patternType="solid">
        <fgColor rgb="FFD9EAF7"/>
      </patternFill>
    </fill>
    <fill>
      <patternFill patternType="solid">
        <fgColor theme="4" tint="0.79998168889431442"/>
        <bgColor theme="4" tint="0.79998168889431442"/>
      </patternFill>
    </fill>
    <fill>
      <patternFill patternType="solid">
        <fgColor theme="3" tint="0.39997558519241921"/>
        <bgColor indexed="64"/>
      </patternFill>
    </fill>
    <fill>
      <patternFill patternType="solid">
        <fgColor theme="4" tint="0.59999389629810485"/>
        <bgColor theme="4" tint="0.59999389629810485"/>
      </patternFill>
    </fill>
    <fill>
      <patternFill patternType="solid">
        <fgColor theme="3" tint="-0.249977111117893"/>
        <bgColor indexed="64"/>
      </patternFill>
    </fill>
  </fills>
  <borders count="6">
    <border>
      <left/>
      <right/>
      <top/>
      <bottom/>
      <diagonal/>
    </border>
    <border>
      <left style="thin">
        <color auto="1"/>
      </left>
      <right style="thin">
        <color auto="1"/>
      </right>
      <top style="thin">
        <color auto="1"/>
      </top>
      <bottom style="thin">
        <color auto="1"/>
      </bottom>
      <diagonal/>
    </border>
    <border>
      <left/>
      <right/>
      <top/>
      <bottom style="thin">
        <color rgb="FFD9E1F2"/>
      </bottom>
      <diagonal/>
    </border>
    <border>
      <left/>
      <right/>
      <top style="thin">
        <color theme="4" tint="0.39997558519241921"/>
      </top>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s>
  <cellStyleXfs count="3">
    <xf numFmtId="0" fontId="0" fillId="0" borderId="0"/>
    <xf numFmtId="9" fontId="4" fillId="0" borderId="0" applyFont="0" applyFill="0" applyBorder="0" applyAlignment="0" applyProtection="0"/>
    <xf numFmtId="44" fontId="4" fillId="0" borderId="0" applyFont="0" applyFill="0" applyBorder="0" applyAlignment="0" applyProtection="0"/>
  </cellStyleXfs>
  <cellXfs count="28">
    <xf numFmtId="0" fontId="0" fillId="0" borderId="0" xfId="0"/>
    <xf numFmtId="0" fontId="3" fillId="2" borderId="1" xfId="0" applyFont="1" applyFill="1" applyBorder="1" applyAlignment="1">
      <alignment vertical="top" wrapText="1"/>
    </xf>
    <xf numFmtId="0" fontId="0" fillId="0" borderId="0" xfId="0" applyAlignment="1">
      <alignment vertical="top" wrapText="1"/>
    </xf>
    <xf numFmtId="0" fontId="1" fillId="3" borderId="0" xfId="0" applyFont="1" applyFill="1" applyAlignment="1">
      <alignment vertical="top" wrapText="1"/>
    </xf>
    <xf numFmtId="0" fontId="2" fillId="2" borderId="0" xfId="0" applyFont="1" applyFill="1"/>
    <xf numFmtId="0" fontId="2" fillId="2" borderId="2" xfId="0" applyFont="1" applyFill="1" applyBorder="1" applyAlignment="1">
      <alignment horizontal="center" vertical="center"/>
    </xf>
    <xf numFmtId="0" fontId="0" fillId="0" borderId="0" xfId="0" applyAlignment="1">
      <alignment horizontal="center" vertical="center"/>
    </xf>
    <xf numFmtId="164" fontId="0" fillId="0" borderId="0" xfId="0" applyNumberFormat="1" applyAlignment="1">
      <alignment horizontal="center" vertical="center"/>
    </xf>
    <xf numFmtId="3" fontId="0" fillId="0" borderId="0" xfId="0" applyNumberFormat="1" applyAlignment="1">
      <alignment horizontal="center" vertical="center"/>
    </xf>
    <xf numFmtId="9"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xf numFmtId="165" fontId="0" fillId="0" borderId="0" xfId="0" applyNumberFormat="1" applyAlignment="1">
      <alignment horizontal="left"/>
    </xf>
    <xf numFmtId="165" fontId="5" fillId="4" borderId="3" xfId="0" applyNumberFormat="1" applyFont="1" applyFill="1" applyBorder="1"/>
    <xf numFmtId="10" fontId="0" fillId="0" borderId="0" xfId="1" applyNumberFormat="1" applyFont="1"/>
    <xf numFmtId="0" fontId="0" fillId="0" borderId="1" xfId="0" applyBorder="1"/>
    <xf numFmtId="0" fontId="0" fillId="5" borderId="0" xfId="0" applyFill="1"/>
    <xf numFmtId="10" fontId="0" fillId="0" borderId="0" xfId="1" applyNumberFormat="1" applyFont="1" applyBorder="1"/>
    <xf numFmtId="0" fontId="0" fillId="0" borderId="0" xfId="0" pivotButton="1"/>
    <xf numFmtId="0" fontId="0" fillId="0" borderId="0" xfId="0" applyAlignment="1">
      <alignment horizontal="left"/>
    </xf>
    <xf numFmtId="17" fontId="0" fillId="0" borderId="0" xfId="0" applyNumberFormat="1" applyAlignment="1">
      <alignment horizontal="left"/>
    </xf>
    <xf numFmtId="10" fontId="0" fillId="0" borderId="0" xfId="1" applyNumberFormat="1" applyFont="1" applyAlignment="1">
      <alignment horizontal="left"/>
    </xf>
    <xf numFmtId="0" fontId="0" fillId="4" borderId="4" xfId="0" applyFill="1" applyBorder="1"/>
    <xf numFmtId="10" fontId="0" fillId="6" borderId="5" xfId="1" applyNumberFormat="1" applyFont="1" applyFill="1" applyBorder="1"/>
    <xf numFmtId="166" fontId="0" fillId="0" borderId="0" xfId="0" applyNumberFormat="1"/>
    <xf numFmtId="164" fontId="0" fillId="0" borderId="0" xfId="0" applyNumberFormat="1" applyAlignment="1">
      <alignment horizontal="left"/>
    </xf>
    <xf numFmtId="167" fontId="0" fillId="0" borderId="1" xfId="2" applyNumberFormat="1" applyFont="1" applyBorder="1"/>
    <xf numFmtId="0" fontId="6" fillId="7" borderId="1" xfId="0" applyFont="1" applyFill="1" applyBorder="1" applyAlignment="1">
      <alignment horizontal="left"/>
    </xf>
  </cellXfs>
  <cellStyles count="3">
    <cellStyle name="Currency" xfId="2" builtinId="4"/>
    <cellStyle name="Normal" xfId="0" builtinId="0"/>
    <cellStyle name="Percent" xfId="1" builtinId="5"/>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6" formatCode="#,##0,&quot;K&quot;"/>
    </dxf>
    <dxf>
      <numFmt numFmtId="0" formatCode="General"/>
    </dxf>
    <dxf>
      <numFmt numFmtId="166" formatCode="#,##0,&quot;K&quot;"/>
    </dxf>
    <dxf>
      <numFmt numFmtId="166" formatCode="#,##0,&quot;K&quot;"/>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9" defaultPivotStyle="PivotStyleLight16">
    <tableStyle name="Timeline Style 1" pivot="0" table="0" count="8" xr9:uid="{7467AEEC-2EA6-4F59-BB9F-E68943D06477}">
      <tableStyleElement type="wholeTable" dxfId="8"/>
      <tableStyleElement type="headerRow" dxfId="7"/>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[BI_Analyst_Excel_Practice.xlsx]Pivot Tables!PivotTable2</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Sales Trend</a:t>
            </a:r>
            <a:endParaRPr lang="en-US" b="1"/>
          </a:p>
        </c:rich>
      </c:tx>
      <c:layout>
        <c:manualLayout>
          <c:xMode val="edge"/>
          <c:yMode val="edge"/>
          <c:x val="4.3828981903577827E-2"/>
          <c:y val="1.944412514129164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Tables'!$E$3</c:f>
              <c:strCache>
                <c:ptCount val="1"/>
                <c:pt idx="0">
                  <c:v>Total</c:v>
                </c:pt>
              </c:strCache>
            </c:strRef>
          </c:tx>
          <c:spPr>
            <a:solidFill>
              <a:schemeClr val="accent1"/>
            </a:solidFill>
            <a:ln>
              <a:noFill/>
            </a:ln>
            <a:effectLst/>
          </c:spPr>
          <c:invertIfNegative val="0"/>
          <c:cat>
            <c:strRef>
              <c:f>'Pivot Tables'!$D$4:$D$16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Tables'!$E$4:$E$16</c:f>
              <c:numCache>
                <c:formatCode>#,##0,"K"</c:formatCode>
                <c:ptCount val="12"/>
                <c:pt idx="0">
                  <c:v>82676213</c:v>
                </c:pt>
                <c:pt idx="1">
                  <c:v>71541879</c:v>
                </c:pt>
                <c:pt idx="2">
                  <c:v>88941333</c:v>
                </c:pt>
                <c:pt idx="3">
                  <c:v>127333461</c:v>
                </c:pt>
                <c:pt idx="4">
                  <c:v>127332657</c:v>
                </c:pt>
                <c:pt idx="5">
                  <c:v>78192422</c:v>
                </c:pt>
                <c:pt idx="6">
                  <c:v>100619463</c:v>
                </c:pt>
                <c:pt idx="7">
                  <c:v>120304793</c:v>
                </c:pt>
                <c:pt idx="8">
                  <c:v>20689760</c:v>
                </c:pt>
                <c:pt idx="9">
                  <c:v>30799669</c:v>
                </c:pt>
                <c:pt idx="10">
                  <c:v>47716219</c:v>
                </c:pt>
                <c:pt idx="11">
                  <c:v>25084206</c:v>
                </c:pt>
              </c:numCache>
            </c:numRef>
          </c:val>
          <c:extLst>
            <c:ext xmlns:c16="http://schemas.microsoft.com/office/drawing/2014/chart" uri="{C3380CC4-5D6E-409C-BE32-E72D297353CC}">
              <c16:uniqueId val="{00000000-677E-4F1E-81A6-A9CD9FE208A0}"/>
            </c:ext>
          </c:extLst>
        </c:ser>
        <c:dLbls>
          <c:showLegendKey val="0"/>
          <c:showVal val="0"/>
          <c:showCatName val="0"/>
          <c:showSerName val="0"/>
          <c:showPercent val="0"/>
          <c:showBubbleSize val="0"/>
        </c:dLbls>
        <c:gapWidth val="50"/>
        <c:overlap val="-27"/>
        <c:axId val="1609435472"/>
        <c:axId val="1609436720"/>
      </c:barChart>
      <c:catAx>
        <c:axId val="160943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436720"/>
        <c:crosses val="autoZero"/>
        <c:auto val="1"/>
        <c:lblAlgn val="ctr"/>
        <c:lblOffset val="100"/>
        <c:noMultiLvlLbl val="0"/>
      </c:catAx>
      <c:valAx>
        <c:axId val="1609436720"/>
        <c:scaling>
          <c:orientation val="minMax"/>
        </c:scaling>
        <c:delete val="0"/>
        <c:axPos val="l"/>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435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[BI_Analyst_Excel_Practice.xlsx]Pivot Tables!PivotTable3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a:t>
            </a:r>
            <a:r>
              <a:rPr lang="en-US" b="1" baseline="0"/>
              <a:t>s By Product</a:t>
            </a:r>
            <a:endParaRPr lang="en-US" b="1"/>
          </a:p>
        </c:rich>
      </c:tx>
      <c:layout>
        <c:manualLayout>
          <c:xMode val="edge"/>
          <c:yMode val="edge"/>
          <c:x val="9.3383705824650706E-2"/>
          <c:y val="3.496503496503496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Tables'!$H$3</c:f>
              <c:strCache>
                <c:ptCount val="1"/>
                <c:pt idx="0">
                  <c:v>Total</c:v>
                </c:pt>
              </c:strCache>
            </c:strRef>
          </c:tx>
          <c:spPr>
            <a:solidFill>
              <a:schemeClr val="accent1"/>
            </a:solidFill>
            <a:ln>
              <a:noFill/>
            </a:ln>
            <a:effectLst/>
          </c:spPr>
          <c:invertIfNegative val="0"/>
          <c:cat>
            <c:strRef>
              <c:f>'Pivot Tables'!$G$4:$G$19</c:f>
              <c:strCache>
                <c:ptCount val="15"/>
                <c:pt idx="0">
                  <c:v>Bookshelf</c:v>
                </c:pt>
                <c:pt idx="1">
                  <c:v>Desk</c:v>
                </c:pt>
                <c:pt idx="2">
                  <c:v>Headphones</c:v>
                </c:pt>
                <c:pt idx="3">
                  <c:v>Keyboard</c:v>
                </c:pt>
                <c:pt idx="4">
                  <c:v>Laptop</c:v>
                </c:pt>
                <c:pt idx="5">
                  <c:v>Laptop Bag</c:v>
                </c:pt>
                <c:pt idx="6">
                  <c:v>Meeting Table</c:v>
                </c:pt>
                <c:pt idx="7">
                  <c:v>Monitor</c:v>
                </c:pt>
                <c:pt idx="8">
                  <c:v>Mouse</c:v>
                </c:pt>
                <c:pt idx="9">
                  <c:v>Office Chair</c:v>
                </c:pt>
                <c:pt idx="10">
                  <c:v>Power Bank</c:v>
                </c:pt>
                <c:pt idx="11">
                  <c:v>Printer</c:v>
                </c:pt>
                <c:pt idx="12">
                  <c:v>Smartphone</c:v>
                </c:pt>
                <c:pt idx="13">
                  <c:v>USB Drive</c:v>
                </c:pt>
                <c:pt idx="14">
                  <c:v>Webcam</c:v>
                </c:pt>
              </c:strCache>
            </c:strRef>
          </c:cat>
          <c:val>
            <c:numRef>
              <c:f>'Pivot Tables'!$H$4:$H$19</c:f>
              <c:numCache>
                <c:formatCode>#,##0,"K"</c:formatCode>
                <c:ptCount val="15"/>
                <c:pt idx="0">
                  <c:v>28417896</c:v>
                </c:pt>
                <c:pt idx="1">
                  <c:v>54752087</c:v>
                </c:pt>
                <c:pt idx="2">
                  <c:v>30740008</c:v>
                </c:pt>
                <c:pt idx="3">
                  <c:v>10367442</c:v>
                </c:pt>
                <c:pt idx="4">
                  <c:v>239937037</c:v>
                </c:pt>
                <c:pt idx="5">
                  <c:v>7462358</c:v>
                </c:pt>
                <c:pt idx="6">
                  <c:v>99535885</c:v>
                </c:pt>
                <c:pt idx="7">
                  <c:v>107043764</c:v>
                </c:pt>
                <c:pt idx="8">
                  <c:v>5413775</c:v>
                </c:pt>
                <c:pt idx="9">
                  <c:v>62066766</c:v>
                </c:pt>
                <c:pt idx="10">
                  <c:v>10662110</c:v>
                </c:pt>
                <c:pt idx="11">
                  <c:v>78368894</c:v>
                </c:pt>
                <c:pt idx="12">
                  <c:v>169716675</c:v>
                </c:pt>
                <c:pt idx="13">
                  <c:v>3890108</c:v>
                </c:pt>
                <c:pt idx="14">
                  <c:v>12857270</c:v>
                </c:pt>
              </c:numCache>
            </c:numRef>
          </c:val>
          <c:extLst>
            <c:ext xmlns:c16="http://schemas.microsoft.com/office/drawing/2014/chart" uri="{C3380CC4-5D6E-409C-BE32-E72D297353CC}">
              <c16:uniqueId val="{00000000-86A2-4383-B0C0-DA13AB3ED1E7}"/>
            </c:ext>
          </c:extLst>
        </c:ser>
        <c:dLbls>
          <c:showLegendKey val="0"/>
          <c:showVal val="0"/>
          <c:showCatName val="0"/>
          <c:showSerName val="0"/>
          <c:showPercent val="0"/>
          <c:showBubbleSize val="0"/>
        </c:dLbls>
        <c:gapWidth val="30"/>
        <c:overlap val="100"/>
        <c:axId val="680167184"/>
        <c:axId val="1033340528"/>
      </c:barChart>
      <c:catAx>
        <c:axId val="680167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340528"/>
        <c:crosses val="autoZero"/>
        <c:auto val="1"/>
        <c:lblAlgn val="ctr"/>
        <c:lblOffset val="100"/>
        <c:noMultiLvlLbl val="0"/>
      </c:catAx>
      <c:valAx>
        <c:axId val="1033340528"/>
        <c:scaling>
          <c:orientation val="minMax"/>
          <c:max val="250000000"/>
        </c:scaling>
        <c:delete val="0"/>
        <c:axPos val="b"/>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167184"/>
        <c:crosses val="autoZero"/>
        <c:crossBetween val="between"/>
        <c:majorUnit val="500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[BI_Analyst_Excel_Practice.xlsx]Pivot Tables!PivotTable4</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Quantity</a:t>
            </a:r>
            <a:r>
              <a:rPr lang="en-US" b="1" baseline="0">
                <a:solidFill>
                  <a:schemeClr val="tx1"/>
                </a:solidFill>
              </a:rPr>
              <a:t> Sold By Product</a:t>
            </a:r>
            <a:endParaRPr lang="en-US" b="1">
              <a:solidFill>
                <a:schemeClr val="tx1"/>
              </a:solidFill>
            </a:endParaRPr>
          </a:p>
        </c:rich>
      </c:tx>
      <c:layout>
        <c:manualLayout>
          <c:xMode val="edge"/>
          <c:yMode val="edge"/>
          <c:x val="5.8812335958005252E-2"/>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51412212264341E-2"/>
          <c:y val="0.21077585666068582"/>
          <c:w val="0.86796678260755211"/>
          <c:h val="0.49054804823545117"/>
        </c:manualLayout>
      </c:layout>
      <c:lineChart>
        <c:grouping val="standard"/>
        <c:varyColors val="0"/>
        <c:ser>
          <c:idx val="0"/>
          <c:order val="0"/>
          <c:tx>
            <c:strRef>
              <c:f>'Pivot Tables'!$K$3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Tables'!$J$4:$J$19</c:f>
              <c:strCache>
                <c:ptCount val="15"/>
                <c:pt idx="0">
                  <c:v>Bookshelf</c:v>
                </c:pt>
                <c:pt idx="1">
                  <c:v>Desk</c:v>
                </c:pt>
                <c:pt idx="2">
                  <c:v>Headphones</c:v>
                </c:pt>
                <c:pt idx="3">
                  <c:v>Keyboard</c:v>
                </c:pt>
                <c:pt idx="4">
                  <c:v>Laptop</c:v>
                </c:pt>
                <c:pt idx="5">
                  <c:v>Laptop Bag</c:v>
                </c:pt>
                <c:pt idx="6">
                  <c:v>Meeting Table</c:v>
                </c:pt>
                <c:pt idx="7">
                  <c:v>Monitor</c:v>
                </c:pt>
                <c:pt idx="8">
                  <c:v>Mouse</c:v>
                </c:pt>
                <c:pt idx="9">
                  <c:v>Office Chair</c:v>
                </c:pt>
                <c:pt idx="10">
                  <c:v>Power Bank</c:v>
                </c:pt>
                <c:pt idx="11">
                  <c:v>Printer</c:v>
                </c:pt>
                <c:pt idx="12">
                  <c:v>Smartphone</c:v>
                </c:pt>
                <c:pt idx="13">
                  <c:v>USB Drive</c:v>
                </c:pt>
                <c:pt idx="14">
                  <c:v>Webcam</c:v>
                </c:pt>
              </c:strCache>
            </c:strRef>
          </c:cat>
          <c:val>
            <c:numRef>
              <c:f>'Pivot Tables'!$K$4:$K$19</c:f>
              <c:numCache>
                <c:formatCode>General</c:formatCode>
                <c:ptCount val="15"/>
                <c:pt idx="0">
                  <c:v>222</c:v>
                </c:pt>
                <c:pt idx="1">
                  <c:v>245</c:v>
                </c:pt>
                <c:pt idx="2">
                  <c:v>416</c:v>
                </c:pt>
                <c:pt idx="3">
                  <c:v>329</c:v>
                </c:pt>
                <c:pt idx="4">
                  <c:v>302</c:v>
                </c:pt>
                <c:pt idx="5">
                  <c:v>152</c:v>
                </c:pt>
                <c:pt idx="6">
                  <c:v>266</c:v>
                </c:pt>
                <c:pt idx="7">
                  <c:v>358</c:v>
                </c:pt>
                <c:pt idx="8">
                  <c:v>287</c:v>
                </c:pt>
                <c:pt idx="9">
                  <c:v>313</c:v>
                </c:pt>
                <c:pt idx="10">
                  <c:v>148</c:v>
                </c:pt>
                <c:pt idx="11">
                  <c:v>271</c:v>
                </c:pt>
                <c:pt idx="12">
                  <c:v>341</c:v>
                </c:pt>
                <c:pt idx="13">
                  <c:v>163</c:v>
                </c:pt>
                <c:pt idx="14">
                  <c:v>173</c:v>
                </c:pt>
              </c:numCache>
            </c:numRef>
          </c:val>
          <c:smooth val="0"/>
          <c:extLst>
            <c:ext xmlns:c16="http://schemas.microsoft.com/office/drawing/2014/chart" uri="{C3380CC4-5D6E-409C-BE32-E72D297353CC}">
              <c16:uniqueId val="{00000000-6FAD-46BF-8345-1AB965D502FA}"/>
            </c:ext>
          </c:extLst>
        </c:ser>
        <c:dLbls>
          <c:dLblPos val="t"/>
          <c:showLegendKey val="0"/>
          <c:showVal val="1"/>
          <c:showCatName val="0"/>
          <c:showSerName val="0"/>
          <c:showPercent val="0"/>
          <c:showBubbleSize val="0"/>
        </c:dLbls>
        <c:smooth val="0"/>
        <c:axId val="205596336"/>
        <c:axId val="205596752"/>
      </c:lineChart>
      <c:catAx>
        <c:axId val="205596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96752"/>
        <c:crosses val="autoZero"/>
        <c:auto val="1"/>
        <c:lblAlgn val="ctr"/>
        <c:lblOffset val="100"/>
        <c:noMultiLvlLbl val="0"/>
      </c:catAx>
      <c:valAx>
        <c:axId val="205596752"/>
        <c:scaling>
          <c:orientation val="minMax"/>
          <c:max val="400"/>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96336"/>
        <c:crosses val="autoZero"/>
        <c:crossBetween val="between"/>
        <c:majorUnit val="1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[BI_Analyst_Excel_Practice.xlsx]Pivot Tables!PivotTable1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a:t>
            </a:r>
            <a:r>
              <a:rPr lang="en-US" baseline="0"/>
              <a:t> By Region</a:t>
            </a:r>
          </a:p>
        </c:rich>
      </c:tx>
      <c:layout>
        <c:manualLayout>
          <c:xMode val="edge"/>
          <c:yMode val="edge"/>
          <c:x val="0.13512084371555805"/>
          <c:y val="0.1565291931198094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ED-43F7-B49C-8C0049BAA4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ED-43F7-B49C-8C0049BAA4F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BED-43F7-B49C-8C0049BAA4F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BED-43F7-B49C-8C0049BAA4F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BED-43F7-B49C-8C0049BAA4F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Tables'!$A$4:$A$9</c:f>
              <c:strCache>
                <c:ptCount val="5"/>
                <c:pt idx="0">
                  <c:v>Bago</c:v>
                </c:pt>
                <c:pt idx="1">
                  <c:v>Mandalay</c:v>
                </c:pt>
                <c:pt idx="2">
                  <c:v>Naypyidaw</c:v>
                </c:pt>
                <c:pt idx="3">
                  <c:v>Shan</c:v>
                </c:pt>
                <c:pt idx="4">
                  <c:v>Yangon</c:v>
                </c:pt>
              </c:strCache>
            </c:strRef>
          </c:cat>
          <c:val>
            <c:numRef>
              <c:f>'Pivot Tables'!$B$4:$B$9</c:f>
              <c:numCache>
                <c:formatCode>#,##0,"K"</c:formatCode>
                <c:ptCount val="5"/>
                <c:pt idx="0">
                  <c:v>109404204</c:v>
                </c:pt>
                <c:pt idx="1">
                  <c:v>211047770</c:v>
                </c:pt>
                <c:pt idx="2">
                  <c:v>133763378</c:v>
                </c:pt>
                <c:pt idx="3">
                  <c:v>114618028</c:v>
                </c:pt>
                <c:pt idx="4">
                  <c:v>352398695</c:v>
                </c:pt>
              </c:numCache>
            </c:numRef>
          </c:val>
          <c:extLst>
            <c:ext xmlns:c16="http://schemas.microsoft.com/office/drawing/2014/chart" uri="{C3380CC4-5D6E-409C-BE32-E72D297353CC}">
              <c16:uniqueId val="{0000000A-3BED-43F7-B49C-8C0049BAA4F6}"/>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Sales Dashboard'!A1"/></Relationships>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hyperlink" Target="#Sales_Data!A1"/><Relationship Id="rId7" Type="http://schemas.openxmlformats.org/officeDocument/2006/relationships/image" Target="../media/image2.png"/><Relationship Id="rId2" Type="http://schemas.openxmlformats.org/officeDocument/2006/relationships/hyperlink" Target="#'Pivot Tables'!A1"/><Relationship Id="rId1" Type="http://schemas.openxmlformats.org/officeDocument/2006/relationships/hyperlink" Target="#'Dashboard For Project'!A1"/><Relationship Id="rId6" Type="http://schemas.openxmlformats.org/officeDocument/2006/relationships/image" Target="../media/image1.png"/><Relationship Id="rId5" Type="http://schemas.openxmlformats.org/officeDocument/2006/relationships/chart" Target="../charts/chart2.xml"/><Relationship Id="rId4" Type="http://schemas.openxmlformats.org/officeDocument/2006/relationships/chart" Target="../charts/chart1.xml"/><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243840</xdr:colOff>
      <xdr:row>2</xdr:row>
      <xdr:rowOff>7620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F740CE50-D260-407F-9511-6BC68464259D}"/>
            </a:ext>
          </a:extLst>
        </xdr:cNvPr>
        <xdr:cNvSpPr/>
      </xdr:nvSpPr>
      <xdr:spPr>
        <a:xfrm>
          <a:off x="0" y="0"/>
          <a:ext cx="1104900" cy="373380"/>
        </a:xfrm>
        <a:prstGeom prst="roundRect">
          <a:avLst/>
        </a:prstGeom>
        <a:solidFill>
          <a:schemeClr val="tx2">
            <a:lumMod val="50000"/>
          </a:schemeClr>
        </a:solidFill>
        <a:ln w="381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bg1"/>
              </a:solidFill>
            </a:rPr>
            <a:t>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198120</xdr:colOff>
      <xdr:row>0</xdr:row>
      <xdr:rowOff>38946</xdr:rowOff>
    </xdr:from>
    <xdr:to>
      <xdr:col>22</xdr:col>
      <xdr:colOff>334346</xdr:colOff>
      <xdr:row>31</xdr:row>
      <xdr:rowOff>178836</xdr:rowOff>
    </xdr:to>
    <xdr:sp macro="" textlink="">
      <xdr:nvSpPr>
        <xdr:cNvPr id="4" name="Rectangle: Rounded Corners 3">
          <a:extLst>
            <a:ext uri="{FF2B5EF4-FFF2-40B4-BE49-F238E27FC236}">
              <a16:creationId xmlns:a16="http://schemas.microsoft.com/office/drawing/2014/main" id="{91C95C3F-F22A-6790-B4BB-F061979C700D}"/>
            </a:ext>
          </a:extLst>
        </xdr:cNvPr>
        <xdr:cNvSpPr/>
      </xdr:nvSpPr>
      <xdr:spPr>
        <a:xfrm>
          <a:off x="198120" y="38946"/>
          <a:ext cx="13479002" cy="592487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a:t>
          </a:r>
        </a:p>
      </xdr:txBody>
    </xdr:sp>
    <xdr:clientData/>
  </xdr:twoCellAnchor>
  <xdr:twoCellAnchor>
    <xdr:from>
      <xdr:col>2</xdr:col>
      <xdr:colOff>388775</xdr:colOff>
      <xdr:row>0</xdr:row>
      <xdr:rowOff>76978</xdr:rowOff>
    </xdr:from>
    <xdr:to>
      <xdr:col>22</xdr:col>
      <xdr:colOff>327971</xdr:colOff>
      <xdr:row>32</xdr:row>
      <xdr:rowOff>12286</xdr:rowOff>
    </xdr:to>
    <xdr:sp macro="" textlink="">
      <xdr:nvSpPr>
        <xdr:cNvPr id="6" name="Rectangle: Rounded Corners 5">
          <a:extLst>
            <a:ext uri="{FF2B5EF4-FFF2-40B4-BE49-F238E27FC236}">
              <a16:creationId xmlns:a16="http://schemas.microsoft.com/office/drawing/2014/main" id="{4A7D9EC0-A895-4C79-95AC-989B3A79757D}"/>
            </a:ext>
          </a:extLst>
        </xdr:cNvPr>
        <xdr:cNvSpPr/>
      </xdr:nvSpPr>
      <xdr:spPr>
        <a:xfrm>
          <a:off x="1601755" y="76978"/>
          <a:ext cx="12068992" cy="5906900"/>
        </a:xfrm>
        <a:prstGeom prst="roundRect">
          <a:avLst/>
        </a:prstGeom>
        <a:solidFill>
          <a:schemeClr val="tx2">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100"/>
            <a:t>+ </a:t>
          </a:r>
        </a:p>
      </xdr:txBody>
    </xdr:sp>
    <xdr:clientData/>
  </xdr:twoCellAnchor>
  <xdr:twoCellAnchor>
    <xdr:from>
      <xdr:col>0</xdr:col>
      <xdr:colOff>388620</xdr:colOff>
      <xdr:row>9</xdr:row>
      <xdr:rowOff>167640</xdr:rowOff>
    </xdr:from>
    <xdr:to>
      <xdr:col>2</xdr:col>
      <xdr:colOff>274320</xdr:colOff>
      <xdr:row>11</xdr:row>
      <xdr:rowOff>175260</xdr:rowOff>
    </xdr:to>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C4959C29-19A0-23E2-CAB3-630DB73DB71F}"/>
            </a:ext>
          </a:extLst>
        </xdr:cNvPr>
        <xdr:cNvSpPr/>
      </xdr:nvSpPr>
      <xdr:spPr>
        <a:xfrm>
          <a:off x="388620" y="1813560"/>
          <a:ext cx="1104900" cy="37338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2">
                  <a:lumMod val="75000"/>
                </a:schemeClr>
              </a:solidFill>
            </a:rPr>
            <a:t>Dashboard</a:t>
          </a:r>
        </a:p>
      </xdr:txBody>
    </xdr:sp>
    <xdr:clientData/>
  </xdr:twoCellAnchor>
  <xdr:twoCellAnchor>
    <xdr:from>
      <xdr:col>0</xdr:col>
      <xdr:colOff>381000</xdr:colOff>
      <xdr:row>13</xdr:row>
      <xdr:rowOff>30480</xdr:rowOff>
    </xdr:from>
    <xdr:to>
      <xdr:col>2</xdr:col>
      <xdr:colOff>266700</xdr:colOff>
      <xdr:row>15</xdr:row>
      <xdr:rowOff>38100</xdr:rowOff>
    </xdr:to>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1889FEC9-BAFD-4706-9FAA-65C899052E0C}"/>
            </a:ext>
          </a:extLst>
        </xdr:cNvPr>
        <xdr:cNvSpPr/>
      </xdr:nvSpPr>
      <xdr:spPr>
        <a:xfrm>
          <a:off x="381000" y="2407920"/>
          <a:ext cx="1104900" cy="373380"/>
        </a:xfrm>
        <a:prstGeom prst="roundRect">
          <a:avLst/>
        </a:prstGeom>
        <a:noFill/>
        <a:ln w="381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bg1"/>
              </a:solidFill>
            </a:rPr>
            <a:t>Summary</a:t>
          </a:r>
        </a:p>
      </xdr:txBody>
    </xdr:sp>
    <xdr:clientData/>
  </xdr:twoCellAnchor>
  <xdr:twoCellAnchor>
    <xdr:from>
      <xdr:col>0</xdr:col>
      <xdr:colOff>373380</xdr:colOff>
      <xdr:row>16</xdr:row>
      <xdr:rowOff>129540</xdr:rowOff>
    </xdr:from>
    <xdr:to>
      <xdr:col>2</xdr:col>
      <xdr:colOff>259080</xdr:colOff>
      <xdr:row>18</xdr:row>
      <xdr:rowOff>137160</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3531074F-BCDB-4E57-B0B0-4033600CD978}"/>
            </a:ext>
          </a:extLst>
        </xdr:cNvPr>
        <xdr:cNvSpPr/>
      </xdr:nvSpPr>
      <xdr:spPr>
        <a:xfrm>
          <a:off x="373380" y="3055620"/>
          <a:ext cx="1104900" cy="373380"/>
        </a:xfrm>
        <a:prstGeom prst="roundRect">
          <a:avLst/>
        </a:prstGeom>
        <a:noFill/>
        <a:ln w="381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bg1"/>
              </a:solidFill>
            </a:rPr>
            <a:t>Sale</a:t>
          </a:r>
          <a:r>
            <a:rPr lang="en-US" sz="1400" b="1" baseline="0">
              <a:solidFill>
                <a:schemeClr val="bg1"/>
              </a:solidFill>
            </a:rPr>
            <a:t> Data</a:t>
          </a:r>
          <a:endParaRPr lang="en-US" sz="1400" b="1">
            <a:solidFill>
              <a:schemeClr val="bg1"/>
            </a:solidFill>
          </a:endParaRPr>
        </a:p>
      </xdr:txBody>
    </xdr:sp>
    <xdr:clientData/>
  </xdr:twoCellAnchor>
  <xdr:twoCellAnchor editAs="absolute">
    <xdr:from>
      <xdr:col>3</xdr:col>
      <xdr:colOff>427653</xdr:colOff>
      <xdr:row>1</xdr:row>
      <xdr:rowOff>31102</xdr:rowOff>
    </xdr:from>
    <xdr:to>
      <xdr:col>11</xdr:col>
      <xdr:colOff>412102</xdr:colOff>
      <xdr:row>6</xdr:row>
      <xdr:rowOff>160020</xdr:rowOff>
    </xdr:to>
    <mc:AlternateContent xmlns:mc="http://schemas.openxmlformats.org/markup-compatibility/2006" xmlns:tsle="http://schemas.microsoft.com/office/drawing/2012/timeslicer">
      <mc:Choice Requires="tsle">
        <xdr:graphicFrame macro="">
          <xdr:nvGraphicFramePr>
            <xdr:cNvPr id="10" name="Order_Date">
              <a:extLst>
                <a:ext uri="{FF2B5EF4-FFF2-40B4-BE49-F238E27FC236}">
                  <a16:creationId xmlns:a16="http://schemas.microsoft.com/office/drawing/2014/main" id="{304F0CDF-8C72-4733-B9BC-5F646B566736}"/>
                </a:ext>
              </a:extLst>
            </xdr:cNvPr>
            <xdr:cNvGraphicFramePr>
              <a:graphicFrameLocks/>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2060491" y="152400"/>
              <a:ext cx="4920499" cy="112729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absolute">
    <xdr:from>
      <xdr:col>11</xdr:col>
      <xdr:colOff>579742</xdr:colOff>
      <xdr:row>1</xdr:row>
      <xdr:rowOff>46654</xdr:rowOff>
    </xdr:from>
    <xdr:to>
      <xdr:col>21</xdr:col>
      <xdr:colOff>542860</xdr:colOff>
      <xdr:row>6</xdr:row>
      <xdr:rowOff>21902</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5E193FE6-0E32-4E0F-8388-BDE3F7E8403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251130" y="233266"/>
              <a:ext cx="6028016" cy="9083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486410</xdr:colOff>
      <xdr:row>7</xdr:row>
      <xdr:rowOff>68581</xdr:rowOff>
    </xdr:from>
    <xdr:to>
      <xdr:col>22</xdr:col>
      <xdr:colOff>304800</xdr:colOff>
      <xdr:row>11</xdr:row>
      <xdr:rowOff>29210</xdr:rowOff>
    </xdr:to>
    <mc:AlternateContent xmlns:mc="http://schemas.openxmlformats.org/markup-compatibility/2006" xmlns:a14="http://schemas.microsoft.com/office/drawing/2010/main">
      <mc:Choice Requires="a14">
        <xdr:graphicFrame macro="">
          <xdr:nvGraphicFramePr>
            <xdr:cNvPr id="13" name="Product">
              <a:extLst>
                <a:ext uri="{FF2B5EF4-FFF2-40B4-BE49-F238E27FC236}">
                  <a16:creationId xmlns:a16="http://schemas.microsoft.com/office/drawing/2014/main" id="{15C602CA-5AF7-4834-B061-B8FB501C80C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693040" y="1374867"/>
              <a:ext cx="11954536" cy="7007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544285</xdr:colOff>
      <xdr:row>13</xdr:row>
      <xdr:rowOff>0</xdr:rowOff>
    </xdr:from>
    <xdr:to>
      <xdr:col>5</xdr:col>
      <xdr:colOff>277367</xdr:colOff>
      <xdr:row>16</xdr:row>
      <xdr:rowOff>152400</xdr:rowOff>
    </xdr:to>
    <xdr:sp macro="" textlink="">
      <xdr:nvSpPr>
        <xdr:cNvPr id="14" name="Rectangle: Rounded Corners 13">
          <a:extLst>
            <a:ext uri="{FF2B5EF4-FFF2-40B4-BE49-F238E27FC236}">
              <a16:creationId xmlns:a16="http://schemas.microsoft.com/office/drawing/2014/main" id="{890DDEF7-E37B-0196-AF8F-BC679A9D8587}"/>
            </a:ext>
          </a:extLst>
        </xdr:cNvPr>
        <xdr:cNvSpPr/>
      </xdr:nvSpPr>
      <xdr:spPr>
        <a:xfrm>
          <a:off x="1757265" y="2425959"/>
          <a:ext cx="1552551" cy="712237"/>
        </a:xfrm>
        <a:prstGeom prst="round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160019</xdr:colOff>
      <xdr:row>13</xdr:row>
      <xdr:rowOff>0</xdr:rowOff>
    </xdr:from>
    <xdr:to>
      <xdr:col>8</xdr:col>
      <xdr:colOff>292988</xdr:colOff>
      <xdr:row>16</xdr:row>
      <xdr:rowOff>152400</xdr:rowOff>
    </xdr:to>
    <xdr:sp macro="" textlink="">
      <xdr:nvSpPr>
        <xdr:cNvPr id="15" name="Rectangle: Rounded Corners 14">
          <a:extLst>
            <a:ext uri="{FF2B5EF4-FFF2-40B4-BE49-F238E27FC236}">
              <a16:creationId xmlns:a16="http://schemas.microsoft.com/office/drawing/2014/main" id="{4BBFA17E-7DC6-4E06-A9F5-C1F754AC4012}"/>
            </a:ext>
          </a:extLst>
        </xdr:cNvPr>
        <xdr:cNvSpPr/>
      </xdr:nvSpPr>
      <xdr:spPr>
        <a:xfrm>
          <a:off x="3817619" y="2377440"/>
          <a:ext cx="1352169" cy="70104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155511</xdr:colOff>
      <xdr:row>12</xdr:row>
      <xdr:rowOff>183036</xdr:rowOff>
    </xdr:from>
    <xdr:to>
      <xdr:col>5</xdr:col>
      <xdr:colOff>528734</xdr:colOff>
      <xdr:row>16</xdr:row>
      <xdr:rowOff>152556</xdr:rowOff>
    </xdr:to>
    <xdr:sp macro="" textlink="">
      <xdr:nvSpPr>
        <xdr:cNvPr id="16" name="Rectangle: Rounded Corners 15">
          <a:extLst>
            <a:ext uri="{FF2B5EF4-FFF2-40B4-BE49-F238E27FC236}">
              <a16:creationId xmlns:a16="http://schemas.microsoft.com/office/drawing/2014/main" id="{5AE3F5B1-9311-5FA8-89EE-82F81FD821F6}"/>
            </a:ext>
          </a:extLst>
        </xdr:cNvPr>
        <xdr:cNvSpPr/>
      </xdr:nvSpPr>
      <xdr:spPr>
        <a:xfrm>
          <a:off x="1974980" y="2422383"/>
          <a:ext cx="1586203" cy="715969"/>
        </a:xfrm>
        <a:prstGeom prst="roundRect">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1">
              <a:solidFill>
                <a:schemeClr val="tx2">
                  <a:lumMod val="75000"/>
                </a:schemeClr>
              </a:solidFill>
            </a:rPr>
            <a:t>Revenue</a:t>
          </a:r>
        </a:p>
        <a:p>
          <a:pPr algn="l"/>
          <a:endParaRPr lang="en-US" sz="1200" b="1" i="1">
            <a:solidFill>
              <a:schemeClr val="tx2">
                <a:lumMod val="75000"/>
              </a:schemeClr>
            </a:solidFill>
          </a:endParaRPr>
        </a:p>
      </xdr:txBody>
    </xdr:sp>
    <xdr:clientData/>
  </xdr:twoCellAnchor>
  <xdr:twoCellAnchor>
    <xdr:from>
      <xdr:col>6</xdr:col>
      <xdr:colOff>427654</xdr:colOff>
      <xdr:row>12</xdr:row>
      <xdr:rowOff>167640</xdr:rowOff>
    </xdr:from>
    <xdr:to>
      <xdr:col>9</xdr:col>
      <xdr:colOff>213361</xdr:colOff>
      <xdr:row>16</xdr:row>
      <xdr:rowOff>160020</xdr:rowOff>
    </xdr:to>
    <xdr:sp macro="" textlink="">
      <xdr:nvSpPr>
        <xdr:cNvPr id="17" name="Rectangle: Rounded Corners 16">
          <a:extLst>
            <a:ext uri="{FF2B5EF4-FFF2-40B4-BE49-F238E27FC236}">
              <a16:creationId xmlns:a16="http://schemas.microsoft.com/office/drawing/2014/main" id="{14DB692A-4973-4D2C-874C-A1A6599D10D2}"/>
            </a:ext>
          </a:extLst>
        </xdr:cNvPr>
        <xdr:cNvSpPr/>
      </xdr:nvSpPr>
      <xdr:spPr>
        <a:xfrm>
          <a:off x="4066593" y="2406987"/>
          <a:ext cx="1605176" cy="738829"/>
        </a:xfrm>
        <a:prstGeom prst="roundRect">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1">
              <a:solidFill>
                <a:schemeClr val="tx2">
                  <a:lumMod val="75000"/>
                </a:schemeClr>
              </a:solidFill>
            </a:rPr>
            <a:t>Total Quantity</a:t>
          </a:r>
          <a:r>
            <a:rPr lang="en-US" sz="1200" b="1" i="1" baseline="0">
              <a:solidFill>
                <a:schemeClr val="tx2">
                  <a:lumMod val="75000"/>
                </a:schemeClr>
              </a:solidFill>
            </a:rPr>
            <a:t> Sold</a:t>
          </a:r>
          <a:endParaRPr lang="en-US" sz="1200" b="1" i="1">
            <a:solidFill>
              <a:schemeClr val="tx2">
                <a:lumMod val="75000"/>
              </a:schemeClr>
            </a:solidFill>
          </a:endParaRPr>
        </a:p>
      </xdr:txBody>
    </xdr:sp>
    <xdr:clientData/>
  </xdr:twoCellAnchor>
  <xdr:oneCellAnchor>
    <xdr:from>
      <xdr:col>3</xdr:col>
      <xdr:colOff>537599</xdr:colOff>
      <xdr:row>14</xdr:row>
      <xdr:rowOff>99060</xdr:rowOff>
    </xdr:from>
    <xdr:ext cx="1265346" cy="311496"/>
    <xdr:sp macro="" textlink="'Pivot Tables'!B12">
      <xdr:nvSpPr>
        <xdr:cNvPr id="23" name="TextBox 22">
          <a:extLst>
            <a:ext uri="{FF2B5EF4-FFF2-40B4-BE49-F238E27FC236}">
              <a16:creationId xmlns:a16="http://schemas.microsoft.com/office/drawing/2014/main" id="{5669F77A-05FC-65DA-5519-E6600BC09CB4}"/>
            </a:ext>
          </a:extLst>
        </xdr:cNvPr>
        <xdr:cNvSpPr txBox="1"/>
      </xdr:nvSpPr>
      <xdr:spPr>
        <a:xfrm>
          <a:off x="2357068" y="2711631"/>
          <a:ext cx="126534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2F71E07-FB06-44E1-B804-3CECC6D9DA96}" type="TxLink">
            <a:rPr lang="en-US" sz="1400" b="0" i="0" u="none" strike="noStrike">
              <a:solidFill>
                <a:srgbClr val="000000"/>
              </a:solidFill>
              <a:latin typeface="Calibri"/>
              <a:ea typeface="Calibri"/>
              <a:cs typeface="Calibri"/>
            </a:rPr>
            <a:pPr/>
            <a:t> $921,232,075 </a:t>
          </a:fld>
          <a:endParaRPr lang="en-US" sz="1400"/>
        </a:p>
      </xdr:txBody>
    </xdr:sp>
    <xdr:clientData/>
  </xdr:oneCellAnchor>
  <xdr:oneCellAnchor>
    <xdr:from>
      <xdr:col>7</xdr:col>
      <xdr:colOff>547240</xdr:colOff>
      <xdr:row>14</xdr:row>
      <xdr:rowOff>75889</xdr:rowOff>
    </xdr:from>
    <xdr:ext cx="1036320" cy="342786"/>
    <xdr:sp macro="" textlink="'Pivot Tables'!B13">
      <xdr:nvSpPr>
        <xdr:cNvPr id="24" name="TextBox 23">
          <a:extLst>
            <a:ext uri="{FF2B5EF4-FFF2-40B4-BE49-F238E27FC236}">
              <a16:creationId xmlns:a16="http://schemas.microsoft.com/office/drawing/2014/main" id="{D71DE982-5F83-F077-EB0F-5E5505B5632F}"/>
            </a:ext>
          </a:extLst>
        </xdr:cNvPr>
        <xdr:cNvSpPr txBox="1"/>
      </xdr:nvSpPr>
      <xdr:spPr>
        <a:xfrm>
          <a:off x="4792669" y="2688460"/>
          <a:ext cx="103632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A63FA5E-3F03-4859-93C2-396B298336F7}" type="TxLink">
            <a:rPr lang="en-US" sz="1600" b="0" i="0" u="none" strike="noStrike">
              <a:solidFill>
                <a:srgbClr val="000000"/>
              </a:solidFill>
              <a:latin typeface="Calibri"/>
              <a:ea typeface="Calibri"/>
              <a:cs typeface="Calibri"/>
            </a:rPr>
            <a:pPr/>
            <a:t>3986</a:t>
          </a:fld>
          <a:endParaRPr lang="en-US" sz="1600"/>
        </a:p>
      </xdr:txBody>
    </xdr:sp>
    <xdr:clientData/>
  </xdr:oneCellAnchor>
  <xdr:twoCellAnchor>
    <xdr:from>
      <xdr:col>3</xdr:col>
      <xdr:colOff>7621</xdr:colOff>
      <xdr:row>17</xdr:row>
      <xdr:rowOff>62204</xdr:rowOff>
    </xdr:from>
    <xdr:to>
      <xdr:col>9</xdr:col>
      <xdr:colOff>311022</xdr:colOff>
      <xdr:row>31</xdr:row>
      <xdr:rowOff>38100</xdr:rowOff>
    </xdr:to>
    <xdr:sp macro="" textlink="">
      <xdr:nvSpPr>
        <xdr:cNvPr id="25" name="Rectangle: Rounded Corners 24">
          <a:extLst>
            <a:ext uri="{FF2B5EF4-FFF2-40B4-BE49-F238E27FC236}">
              <a16:creationId xmlns:a16="http://schemas.microsoft.com/office/drawing/2014/main" id="{76453F2D-3817-D951-4C25-C2CB52675D29}"/>
            </a:ext>
          </a:extLst>
        </xdr:cNvPr>
        <xdr:cNvSpPr/>
      </xdr:nvSpPr>
      <xdr:spPr>
        <a:xfrm>
          <a:off x="1827090" y="3234612"/>
          <a:ext cx="3942340" cy="2588468"/>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335280</xdr:colOff>
      <xdr:row>11</xdr:row>
      <xdr:rowOff>106680</xdr:rowOff>
    </xdr:from>
    <xdr:to>
      <xdr:col>15</xdr:col>
      <xdr:colOff>266700</xdr:colOff>
      <xdr:row>20</xdr:row>
      <xdr:rowOff>93306</xdr:rowOff>
    </xdr:to>
    <xdr:sp macro="" textlink="">
      <xdr:nvSpPr>
        <xdr:cNvPr id="26" name="Rectangle: Rounded Corners 25">
          <a:extLst>
            <a:ext uri="{FF2B5EF4-FFF2-40B4-BE49-F238E27FC236}">
              <a16:creationId xmlns:a16="http://schemas.microsoft.com/office/drawing/2014/main" id="{1467067A-CF34-E5B9-FED5-8C8B442A9D62}"/>
            </a:ext>
          </a:extLst>
        </xdr:cNvPr>
        <xdr:cNvSpPr/>
      </xdr:nvSpPr>
      <xdr:spPr>
        <a:xfrm>
          <a:off x="5793688" y="2159415"/>
          <a:ext cx="3570359" cy="1666136"/>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403860</xdr:colOff>
      <xdr:row>20</xdr:row>
      <xdr:rowOff>163286</xdr:rowOff>
    </xdr:from>
    <xdr:to>
      <xdr:col>15</xdr:col>
      <xdr:colOff>311020</xdr:colOff>
      <xdr:row>31</xdr:row>
      <xdr:rowOff>93306</xdr:rowOff>
    </xdr:to>
    <xdr:sp macro="" textlink="">
      <xdr:nvSpPr>
        <xdr:cNvPr id="27" name="Rectangle: Rounded Corners 26">
          <a:extLst>
            <a:ext uri="{FF2B5EF4-FFF2-40B4-BE49-F238E27FC236}">
              <a16:creationId xmlns:a16="http://schemas.microsoft.com/office/drawing/2014/main" id="{5569A523-9456-412B-A638-25994ED44C69}"/>
            </a:ext>
          </a:extLst>
        </xdr:cNvPr>
        <xdr:cNvSpPr/>
      </xdr:nvSpPr>
      <xdr:spPr>
        <a:xfrm>
          <a:off x="5862268" y="3895531"/>
          <a:ext cx="3546099" cy="198275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426720</xdr:colOff>
      <xdr:row>11</xdr:row>
      <xdr:rowOff>152400</xdr:rowOff>
    </xdr:from>
    <xdr:to>
      <xdr:col>22</xdr:col>
      <xdr:colOff>160020</xdr:colOff>
      <xdr:row>30</xdr:row>
      <xdr:rowOff>60960</xdr:rowOff>
    </xdr:to>
    <xdr:sp macro="" textlink="">
      <xdr:nvSpPr>
        <xdr:cNvPr id="28" name="Rectangle: Rounded Corners 27">
          <a:extLst>
            <a:ext uri="{FF2B5EF4-FFF2-40B4-BE49-F238E27FC236}">
              <a16:creationId xmlns:a16="http://schemas.microsoft.com/office/drawing/2014/main" id="{F237B389-BC83-C6F2-1BA9-D2B3E2F3447C}"/>
            </a:ext>
          </a:extLst>
        </xdr:cNvPr>
        <xdr:cNvSpPr/>
      </xdr:nvSpPr>
      <xdr:spPr>
        <a:xfrm>
          <a:off x="9570720" y="2164080"/>
          <a:ext cx="4000500" cy="3383280"/>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228911</xdr:colOff>
      <xdr:row>18</xdr:row>
      <xdr:rowOff>85532</xdr:rowOff>
    </xdr:from>
    <xdr:to>
      <xdr:col>9</xdr:col>
      <xdr:colOff>147735</xdr:colOff>
      <xdr:row>30</xdr:row>
      <xdr:rowOff>85065</xdr:rowOff>
    </xdr:to>
    <xdr:graphicFrame macro="">
      <xdr:nvGraphicFramePr>
        <xdr:cNvPr id="30" name="Chart 29">
          <a:extLst>
            <a:ext uri="{FF2B5EF4-FFF2-40B4-BE49-F238E27FC236}">
              <a16:creationId xmlns:a16="http://schemas.microsoft.com/office/drawing/2014/main" id="{4E44FC87-5503-4D9F-8E28-C75A875046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457200</xdr:colOff>
      <xdr:row>12</xdr:row>
      <xdr:rowOff>7620</xdr:rowOff>
    </xdr:from>
    <xdr:to>
      <xdr:col>22</xdr:col>
      <xdr:colOff>99060</xdr:colOff>
      <xdr:row>29</xdr:row>
      <xdr:rowOff>167640</xdr:rowOff>
    </xdr:to>
    <xdr:graphicFrame macro="">
      <xdr:nvGraphicFramePr>
        <xdr:cNvPr id="33" name="Chart 32">
          <a:extLst>
            <a:ext uri="{FF2B5EF4-FFF2-40B4-BE49-F238E27FC236}">
              <a16:creationId xmlns:a16="http://schemas.microsoft.com/office/drawing/2014/main" id="{6E625473-5B4D-465F-B755-8AF9CCEE43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233264</xdr:colOff>
      <xdr:row>14</xdr:row>
      <xdr:rowOff>82063</xdr:rowOff>
    </xdr:from>
    <xdr:to>
      <xdr:col>3</xdr:col>
      <xdr:colOff>559838</xdr:colOff>
      <xdr:row>16</xdr:row>
      <xdr:rowOff>49968</xdr:rowOff>
    </xdr:to>
    <xdr:pic>
      <xdr:nvPicPr>
        <xdr:cNvPr id="35" name="Picture 34">
          <a:extLst>
            <a:ext uri="{FF2B5EF4-FFF2-40B4-BE49-F238E27FC236}">
              <a16:creationId xmlns:a16="http://schemas.microsoft.com/office/drawing/2014/main" id="{D4B5C281-9B19-7DF4-3954-81FA057512FD}"/>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052733" y="2694634"/>
          <a:ext cx="326574" cy="33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18287</xdr:colOff>
      <xdr:row>14</xdr:row>
      <xdr:rowOff>77756</xdr:rowOff>
    </xdr:from>
    <xdr:to>
      <xdr:col>7</xdr:col>
      <xdr:colOff>388777</xdr:colOff>
      <xdr:row>16</xdr:row>
      <xdr:rowOff>84331</xdr:rowOff>
    </xdr:to>
    <xdr:pic>
      <xdr:nvPicPr>
        <xdr:cNvPr id="37" name="Picture 36">
          <a:extLst>
            <a:ext uri="{FF2B5EF4-FFF2-40B4-BE49-F238E27FC236}">
              <a16:creationId xmlns:a16="http://schemas.microsoft.com/office/drawing/2014/main" id="{0DBE567B-BF63-56B0-0C85-53FB09728C51}"/>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263716" y="2690327"/>
          <a:ext cx="370490" cy="379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528737</xdr:colOff>
      <xdr:row>21</xdr:row>
      <xdr:rowOff>46655</xdr:rowOff>
    </xdr:from>
    <xdr:to>
      <xdr:col>15</xdr:col>
      <xdr:colOff>194388</xdr:colOff>
      <xdr:row>31</xdr:row>
      <xdr:rowOff>23326</xdr:rowOff>
    </xdr:to>
    <xdr:graphicFrame macro="">
      <xdr:nvGraphicFramePr>
        <xdr:cNvPr id="2" name="Chart 1">
          <a:extLst>
            <a:ext uri="{FF2B5EF4-FFF2-40B4-BE49-F238E27FC236}">
              <a16:creationId xmlns:a16="http://schemas.microsoft.com/office/drawing/2014/main" id="{1ADA846D-7471-4D48-BD20-A028A45412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7775</xdr:colOff>
      <xdr:row>10</xdr:row>
      <xdr:rowOff>31104</xdr:rowOff>
    </xdr:from>
    <xdr:to>
      <xdr:col>15</xdr:col>
      <xdr:colOff>520960</xdr:colOff>
      <xdr:row>20</xdr:row>
      <xdr:rowOff>124408</xdr:rowOff>
    </xdr:to>
    <xdr:graphicFrame macro="">
      <xdr:nvGraphicFramePr>
        <xdr:cNvPr id="3" name="Chart 2">
          <a:extLst>
            <a:ext uri="{FF2B5EF4-FFF2-40B4-BE49-F238E27FC236}">
              <a16:creationId xmlns:a16="http://schemas.microsoft.com/office/drawing/2014/main" id="{DD6D0C35-2AD1-438F-9A6C-4CB71C9C9C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 refreshedDate="46269.818215624997" createdVersion="8" refreshedVersion="8" minRefreshableVersion="3" recordCount="1000" xr:uid="{0029E2E3-7700-46CF-AF67-2418FB99DA72}">
  <cacheSource type="worksheet">
    <worksheetSource ref="A1:Q1001" sheet="Sales_Data"/>
  </cacheSource>
  <cacheFields count="19">
    <cacheField name="Order_ID" numFmtId="0">
      <sharedItems/>
    </cacheField>
    <cacheField name="Order_Date" numFmtId="164">
      <sharedItems containsSemiMixedTypes="0" containsNonDate="0" containsDate="1" containsString="0" minDate="2025-01-01T00:00:00" maxDate="2026-08-29T00:00:00" count="479">
        <d v="2025-01-01T00:00:00"/>
        <d v="2025-01-02T00:00:00"/>
        <d v="2025-01-03T00:00:00"/>
        <d v="2025-01-05T00:00:00"/>
        <d v="2025-01-06T00:00:00"/>
        <d v="2025-01-07T00:00:00"/>
        <d v="2025-01-10T00:00:00"/>
        <d v="2025-01-11T00:00:00"/>
        <d v="2025-01-12T00:00:00"/>
        <d v="2025-01-13T00:00:00"/>
        <d v="2025-01-14T00:00:00"/>
        <d v="2025-01-15T00:00:00"/>
        <d v="2025-01-16T00:00:00"/>
        <d v="2025-01-17T00:00:00"/>
        <d v="2025-01-18T00:00:00"/>
        <d v="2025-01-19T00:00:00"/>
        <d v="2025-01-20T00:00:00"/>
        <d v="2025-01-21T00:00:00"/>
        <d v="2025-01-23T00:00:00"/>
        <d v="2025-01-24T00:00:00"/>
        <d v="2025-01-26T00:00:00"/>
        <d v="2025-01-27T00:00:00"/>
        <d v="2025-01-28T00:00:00"/>
        <d v="2025-01-29T00:00:00"/>
        <d v="2025-01-30T00:00:00"/>
        <d v="2025-01-31T00:00:00"/>
        <d v="2025-02-04T00:00:00"/>
        <d v="2025-02-06T00:00:00"/>
        <d v="2025-02-08T00:00:00"/>
        <d v="2025-02-09T00:00:00"/>
        <d v="2025-02-11T00:00:00"/>
        <d v="2025-02-12T00:00:00"/>
        <d v="2025-02-13T00:00:00"/>
        <d v="2025-02-15T00:00:00"/>
        <d v="2025-02-16T00:00:00"/>
        <d v="2025-02-17T00:00:00"/>
        <d v="2025-02-18T00:00:00"/>
        <d v="2025-02-19T00:00:00"/>
        <d v="2025-02-20T00:00:00"/>
        <d v="2025-02-21T00:00:00"/>
        <d v="2025-02-23T00:00:00"/>
        <d v="2025-02-24T00:00:00"/>
        <d v="2025-02-25T00:00:00"/>
        <d v="2025-02-26T00:00:00"/>
        <d v="2025-02-27T00:00:00"/>
        <d v="2025-02-28T00:00:00"/>
        <d v="2025-03-01T00:00:00"/>
        <d v="2025-03-02T00:00:00"/>
        <d v="2025-03-03T00:00:00"/>
        <d v="2025-03-05T00:00:00"/>
        <d v="2025-03-06T00:00:00"/>
        <d v="2025-03-07T00:00:00"/>
        <d v="2025-03-10T00:00:00"/>
        <d v="2025-03-11T00:00:00"/>
        <d v="2025-03-12T00:00:00"/>
        <d v="2025-03-13T00:00:00"/>
        <d v="2025-03-14T00:00:00"/>
        <d v="2025-03-16T00:00:00"/>
        <d v="2025-03-17T00:00:00"/>
        <d v="2025-03-18T00:00:00"/>
        <d v="2025-03-19T00:00:00"/>
        <d v="2025-03-20T00:00:00"/>
        <d v="2025-03-21T00:00:00"/>
        <d v="2025-03-22T00:00:00"/>
        <d v="2025-03-23T00:00:00"/>
        <d v="2025-03-24T00:00:00"/>
        <d v="2025-03-25T00:00:00"/>
        <d v="2025-03-26T00:00:00"/>
        <d v="2025-03-27T00:00:00"/>
        <d v="2025-03-29T00:00:00"/>
        <d v="2025-03-31T00:00:00"/>
        <d v="2025-04-01T00:00:00"/>
        <d v="2025-04-02T00:00:00"/>
        <d v="2025-04-03T00:00:00"/>
        <d v="2025-04-05T00:00:00"/>
        <d v="2025-04-06T00:00:00"/>
        <d v="2025-04-07T00:00:00"/>
        <d v="2025-04-08T00:00:00"/>
        <d v="2025-04-09T00:00:00"/>
        <d v="2025-04-11T00:00:00"/>
        <d v="2025-04-12T00:00:00"/>
        <d v="2025-04-13T00:00:00"/>
        <d v="2025-04-14T00:00:00"/>
        <d v="2025-04-15T00:00:00"/>
        <d v="2025-04-18T00:00:00"/>
        <d v="2025-04-19T00:00:00"/>
        <d v="2025-04-20T00:00:00"/>
        <d v="2025-04-21T00:00:00"/>
        <d v="2025-04-22T00:00:00"/>
        <d v="2025-04-23T00:00:00"/>
        <d v="2025-04-24T00:00:00"/>
        <d v="2025-04-25T00:00:00"/>
        <d v="2025-04-26T00:00:00"/>
        <d v="2025-04-27T00:00:00"/>
        <d v="2025-04-28T00:00:00"/>
        <d v="2025-04-29T00:00:00"/>
        <d v="2025-05-01T00:00:00"/>
        <d v="2025-05-02T00:00:00"/>
        <d v="2025-05-03T00:00:00"/>
        <d v="2025-05-04T00:00:00"/>
        <d v="2025-05-05T00:00:00"/>
        <d v="2025-05-06T00:00:00"/>
        <d v="2025-05-07T00:00:00"/>
        <d v="2025-05-08T00:00:00"/>
        <d v="2025-05-09T00:00:00"/>
        <d v="2025-05-10T00:00:00"/>
        <d v="2025-05-11T00:00:00"/>
        <d v="2025-05-12T00:00:00"/>
        <d v="2025-05-16T00:00:00"/>
        <d v="2025-05-17T00:00:00"/>
        <d v="2025-05-18T00:00:00"/>
        <d v="2025-05-19T00:00:00"/>
        <d v="2025-05-22T00:00:00"/>
        <d v="2025-05-23T00:00:00"/>
        <d v="2025-05-24T00:00:00"/>
        <d v="2025-05-25T00:00:00"/>
        <d v="2025-05-27T00:00:00"/>
        <d v="2025-05-28T00:00:00"/>
        <d v="2025-05-29T00:00:00"/>
        <d v="2025-05-30T00:00:00"/>
        <d v="2025-06-01T00:00:00"/>
        <d v="2025-06-02T00:00:00"/>
        <d v="2025-06-03T00:00:00"/>
        <d v="2025-06-04T00:00:00"/>
        <d v="2025-06-05T00:00:00"/>
        <d v="2025-06-06T00:00:00"/>
        <d v="2025-06-08T00:00:00"/>
        <d v="2025-06-09T00:00:00"/>
        <d v="2025-06-10T00:00:00"/>
        <d v="2025-06-11T00:00:00"/>
        <d v="2025-06-12T00:00:00"/>
        <d v="2025-06-13T00:00:00"/>
        <d v="2025-06-14T00:00:00"/>
        <d v="2025-06-15T00:00:00"/>
        <d v="2025-06-17T00:00:00"/>
        <d v="2025-06-19T00:00:00"/>
        <d v="2025-06-21T00:00:00"/>
        <d v="2025-06-22T00:00:00"/>
        <d v="2025-06-24T00:00:00"/>
        <d v="2025-06-25T00:00:00"/>
        <d v="2025-06-26T00:00:00"/>
        <d v="2025-06-27T00:00:00"/>
        <d v="2025-06-29T00:00:00"/>
        <d v="2025-07-01T00:00:00"/>
        <d v="2025-07-02T00:00:00"/>
        <d v="2025-07-05T00:00:00"/>
        <d v="2025-07-07T00:00:00"/>
        <d v="2025-07-08T00:00:00"/>
        <d v="2025-07-10T00:00:00"/>
        <d v="2025-07-11T00:00:00"/>
        <d v="2025-07-15T00:00:00"/>
        <d v="2025-07-16T00:00:00"/>
        <d v="2025-07-17T00:00:00"/>
        <d v="2025-07-18T00:00:00"/>
        <d v="2025-07-19T00:00:00"/>
        <d v="2025-07-20T00:00:00"/>
        <d v="2025-07-21T00:00:00"/>
        <d v="2025-07-22T00:00:00"/>
        <d v="2025-07-23T00:00:00"/>
        <d v="2025-07-24T00:00:00"/>
        <d v="2025-07-25T00:00:00"/>
        <d v="2025-07-26T00:00:00"/>
        <d v="2025-07-28T00:00:00"/>
        <d v="2025-07-29T00:00:00"/>
        <d v="2025-07-30T00:00:00"/>
        <d v="2025-07-31T00:00:00"/>
        <d v="2025-08-01T00:00:00"/>
        <d v="2025-08-02T00:00:00"/>
        <d v="2025-08-04T00:00:00"/>
        <d v="2025-08-05T00:00:00"/>
        <d v="2025-08-06T00:00:00"/>
        <d v="2025-08-08T00:00:00"/>
        <d v="2025-08-09T00:00:00"/>
        <d v="2025-08-10T00:00:00"/>
        <d v="2025-08-11T00:00:00"/>
        <d v="2025-08-13T00:00:00"/>
        <d v="2025-08-14T00:00:00"/>
        <d v="2025-08-15T00:00:00"/>
        <d v="2025-08-17T00:00:00"/>
        <d v="2025-08-18T00:00:00"/>
        <d v="2025-08-19T00:00:00"/>
        <d v="2025-08-20T00:00:00"/>
        <d v="2025-08-21T00:00:00"/>
        <d v="2025-08-22T00:00:00"/>
        <d v="2025-08-23T00:00:00"/>
        <d v="2025-08-24T00:00:00"/>
        <d v="2025-08-25T00:00:00"/>
        <d v="2025-08-26T00:00:00"/>
        <d v="2025-08-27T00:00:00"/>
        <d v="2025-08-29T00:00:00"/>
        <d v="2025-08-30T00:00:00"/>
        <d v="2025-08-31T00:00:00"/>
        <d v="2025-09-01T00:00:00"/>
        <d v="2025-09-02T00:00:00"/>
        <d v="2025-09-03T00:00:00"/>
        <d v="2025-09-04T00:00:00"/>
        <d v="2025-09-05T00:00:00"/>
        <d v="2025-09-06T00:00:00"/>
        <d v="2025-09-07T00:00:00"/>
        <d v="2025-09-10T00:00:00"/>
        <d v="2025-09-12T00:00:00"/>
        <d v="2025-09-13T00:00:00"/>
        <d v="2025-09-14T00:00:00"/>
        <d v="2025-09-15T00:00:00"/>
        <d v="2025-09-16T00:00:00"/>
        <d v="2025-09-17T00:00:00"/>
        <d v="2025-09-18T00:00:00"/>
        <d v="2025-09-20T00:00:00"/>
        <d v="2025-09-21T00:00:00"/>
        <d v="2025-09-22T00:00:00"/>
        <d v="2025-09-23T00:00:00"/>
        <d v="2025-09-24T00:00:00"/>
        <d v="2025-09-25T00:00:00"/>
        <d v="2025-09-27T00:00:00"/>
        <d v="2025-09-28T00:00:00"/>
        <d v="2025-09-29T00:00:00"/>
        <d v="2025-09-30T00:00:00"/>
        <d v="2025-10-01T00:00:00"/>
        <d v="2025-10-02T00:00:00"/>
        <d v="2025-10-03T00:00:00"/>
        <d v="2025-10-04T00:00:00"/>
        <d v="2025-10-05T00:00:00"/>
        <d v="2025-10-06T00:00:00"/>
        <d v="2025-10-09T00:00:00"/>
        <d v="2025-10-10T00:00:00"/>
        <d v="2025-10-11T00:00:00"/>
        <d v="2025-10-12T00:00:00"/>
        <d v="2025-10-13T00:00:00"/>
        <d v="2025-10-14T00:00:00"/>
        <d v="2025-10-15T00:00:00"/>
        <d v="2025-10-18T00:00:00"/>
        <d v="2025-10-19T00:00:00"/>
        <d v="2025-10-20T00:00:00"/>
        <d v="2025-10-21T00:00:00"/>
        <d v="2025-10-22T00:00:00"/>
        <d v="2025-10-23T00:00:00"/>
        <d v="2025-10-24T00:00:00"/>
        <d v="2025-10-25T00:00:00"/>
        <d v="2025-10-26T00:00:00"/>
        <d v="2025-10-27T00:00:00"/>
        <d v="2025-10-30T00:00:00"/>
        <d v="2025-10-31T00:00:00"/>
        <d v="2025-11-01T00:00:00"/>
        <d v="2025-11-02T00:00:00"/>
        <d v="2025-11-03T00:00:00"/>
        <d v="2025-11-04T00:00:00"/>
        <d v="2025-11-05T00:00:00"/>
        <d v="2025-11-07T00:00:00"/>
        <d v="2025-11-09T00:00:00"/>
        <d v="2025-11-10T00:00:00"/>
        <d v="2025-11-12T00:00:00"/>
        <d v="2025-11-14T00:00:00"/>
        <d v="2025-11-15T00:00:00"/>
        <d v="2025-11-20T00:00:00"/>
        <d v="2025-11-22T00:00:00"/>
        <d v="2025-11-23T00:00:00"/>
        <d v="2025-11-24T00:00:00"/>
        <d v="2025-11-25T00:00:00"/>
        <d v="2025-11-26T00:00:00"/>
        <d v="2025-11-27T00:00:00"/>
        <d v="2025-11-28T00:00:00"/>
        <d v="2025-11-29T00:00:00"/>
        <d v="2025-11-30T00:00:00"/>
        <d v="2025-12-01T00:00:00"/>
        <d v="2025-12-03T00:00:00"/>
        <d v="2025-12-04T00:00:00"/>
        <d v="2025-12-05T00:00:00"/>
        <d v="2025-12-06T00:00:00"/>
        <d v="2025-12-07T00:00:00"/>
        <d v="2025-12-08T00:00:00"/>
        <d v="2025-12-09T00:00:00"/>
        <d v="2025-12-11T00:00:00"/>
        <d v="2025-12-12T00:00:00"/>
        <d v="2025-12-13T00:00:00"/>
        <d v="2025-12-15T00:00:00"/>
        <d v="2025-12-16T00:00:00"/>
        <d v="2025-12-17T00:00:00"/>
        <d v="2025-12-18T00:00:00"/>
        <d v="2025-12-19T00:00:00"/>
        <d v="2025-12-21T00:00:00"/>
        <d v="2025-12-23T00:00:00"/>
        <d v="2025-12-24T00:00:00"/>
        <d v="2025-12-25T00:00:00"/>
        <d v="2025-12-26T00:00:00"/>
        <d v="2025-12-27T00:00:00"/>
        <d v="2025-12-28T00:00:00"/>
        <d v="2025-12-29T00:00:00"/>
        <d v="2025-12-30T00:00:00"/>
        <d v="2025-12-31T00:00:00"/>
        <d v="2026-01-02T00:00:00"/>
        <d v="2026-01-03T00:00:00"/>
        <d v="2026-01-04T00:00:00"/>
        <d v="2026-01-06T00:00:00"/>
        <d v="2026-01-07T00:00:00"/>
        <d v="2026-01-08T00:00:00"/>
        <d v="2026-01-09T00:00:00"/>
        <d v="2026-01-10T00:00:00"/>
        <d v="2026-01-11T00:00:00"/>
        <d v="2026-01-12T00:00:00"/>
        <d v="2026-01-13T00:00:00"/>
        <d v="2026-01-14T00:00:00"/>
        <d v="2026-01-15T00:00:00"/>
        <d v="2026-01-20T00:00:00"/>
        <d v="2026-01-22T00:00:00"/>
        <d v="2026-01-23T00:00:00"/>
        <d v="2026-01-24T00:00:00"/>
        <d v="2026-01-27T00:00:00"/>
        <d v="2026-01-28T00:00:00"/>
        <d v="2026-01-29T00:00:00"/>
        <d v="2026-01-30T00:00:00"/>
        <d v="2026-01-31T00:00:00"/>
        <d v="2026-02-01T00:00:00"/>
        <d v="2026-02-02T00:00:00"/>
        <d v="2026-02-04T00:00:00"/>
        <d v="2026-02-05T00:00:00"/>
        <d v="2026-02-06T00:00:00"/>
        <d v="2026-02-09T00:00:00"/>
        <d v="2026-02-10T00:00:00"/>
        <d v="2026-02-12T00:00:00"/>
        <d v="2026-02-13T00:00:00"/>
        <d v="2026-02-14T00:00:00"/>
        <d v="2026-02-16T00:00:00"/>
        <d v="2026-02-18T00:00:00"/>
        <d v="2026-02-19T00:00:00"/>
        <d v="2026-02-20T00:00:00"/>
        <d v="2026-02-22T00:00:00"/>
        <d v="2026-02-24T00:00:00"/>
        <d v="2026-02-26T00:00:00"/>
        <d v="2026-02-27T00:00:00"/>
        <d v="2026-02-28T00:00:00"/>
        <d v="2026-03-02T00:00:00"/>
        <d v="2026-03-03T00:00:00"/>
        <d v="2026-03-05T00:00:00"/>
        <d v="2026-03-07T00:00:00"/>
        <d v="2026-03-08T00:00:00"/>
        <d v="2026-03-09T00:00:00"/>
        <d v="2026-03-10T00:00:00"/>
        <d v="2026-03-11T00:00:00"/>
        <d v="2026-03-12T00:00:00"/>
        <d v="2026-03-13T00:00:00"/>
        <d v="2026-03-14T00:00:00"/>
        <d v="2026-03-15T00:00:00"/>
        <d v="2026-03-16T00:00:00"/>
        <d v="2026-03-17T00:00:00"/>
        <d v="2026-03-18T00:00:00"/>
        <d v="2026-03-19T00:00:00"/>
        <d v="2026-03-21T00:00:00"/>
        <d v="2026-03-22T00:00:00"/>
        <d v="2026-03-23T00:00:00"/>
        <d v="2026-03-24T00:00:00"/>
        <d v="2026-03-25T00:00:00"/>
        <d v="2026-03-27T00:00:00"/>
        <d v="2026-03-28T00:00:00"/>
        <d v="2026-03-29T00:00:00"/>
        <d v="2026-03-30T00:00:00"/>
        <d v="2026-03-31T00:00:00"/>
        <d v="2026-04-01T00:00:00"/>
        <d v="2026-04-02T00:00:00"/>
        <d v="2026-04-04T00:00:00"/>
        <d v="2026-04-05T00:00:00"/>
        <d v="2026-04-06T00:00:00"/>
        <d v="2026-04-07T00:00:00"/>
        <d v="2026-04-08T00:00:00"/>
        <d v="2026-04-09T00:00:00"/>
        <d v="2026-04-12T00:00:00"/>
        <d v="2026-04-13T00:00:00"/>
        <d v="2026-04-14T00:00:00"/>
        <d v="2026-04-16T00:00:00"/>
        <d v="2026-04-17T00:00:00"/>
        <d v="2026-04-18T00:00:00"/>
        <d v="2026-04-19T00:00:00"/>
        <d v="2026-04-20T00:00:00"/>
        <d v="2026-04-21T00:00:00"/>
        <d v="2026-04-22T00:00:00"/>
        <d v="2026-04-25T00:00:00"/>
        <d v="2026-04-26T00:00:00"/>
        <d v="2026-04-27T00:00:00"/>
        <d v="2026-04-28T00:00:00"/>
        <d v="2026-04-29T00:00:00"/>
        <d v="2026-05-01T00:00:00"/>
        <d v="2026-05-03T00:00:00"/>
        <d v="2026-05-04T00:00:00"/>
        <d v="2026-05-05T00:00:00"/>
        <d v="2026-05-06T00:00:00"/>
        <d v="2026-05-07T00:00:00"/>
        <d v="2026-05-09T00:00:00"/>
        <d v="2026-05-10T00:00:00"/>
        <d v="2026-05-11T00:00:00"/>
        <d v="2026-05-12T00:00:00"/>
        <d v="2026-05-15T00:00:00"/>
        <d v="2026-05-16T00:00:00"/>
        <d v="2026-05-17T00:00:00"/>
        <d v="2026-05-18T00:00:00"/>
        <d v="2026-05-19T00:00:00"/>
        <d v="2026-05-20T00:00:00"/>
        <d v="2026-05-21T00:00:00"/>
        <d v="2026-05-22T00:00:00"/>
        <d v="2026-05-23T00:00:00"/>
        <d v="2026-05-24T00:00:00"/>
        <d v="2026-05-25T00:00:00"/>
        <d v="2026-05-27T00:00:00"/>
        <d v="2026-05-28T00:00:00"/>
        <d v="2026-05-29T00:00:00"/>
        <d v="2026-05-30T00:00:00"/>
        <d v="2026-05-31T00:00:00"/>
        <d v="2026-06-01T00:00:00"/>
        <d v="2026-06-02T00:00:00"/>
        <d v="2026-06-03T00:00:00"/>
        <d v="2026-06-04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7T00:00:00"/>
        <d v="2026-06-28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7T00:00:00"/>
        <d v="2026-07-18T00:00:00"/>
        <d v="2026-07-20T00:00:00"/>
        <d v="2026-07-21T00:00:00"/>
        <d v="2026-07-22T00:00:00"/>
        <d v="2026-07-23T00:00:00"/>
        <d v="2026-07-25T00:00:00"/>
        <d v="2026-07-26T00:00:00"/>
        <d v="2026-07-27T00:00:00"/>
        <d v="2026-07-28T00:00:00"/>
        <d v="2026-07-29T00:00:00"/>
        <d v="2026-08-02T00:00:00"/>
        <d v="2026-08-03T00:00:00"/>
        <d v="2026-08-04T00:00:00"/>
        <d v="2026-08-06T00:00:00"/>
        <d v="2026-08-09T00:00:00"/>
        <d v="2026-08-10T00:00:00"/>
        <d v="2026-08-11T00:00:00"/>
        <d v="2026-08-12T00:00:00"/>
        <d v="2026-08-14T00:00:00"/>
        <d v="2026-08-15T00:00:00"/>
        <d v="2026-08-17T00:00:00"/>
        <d v="2026-08-18T00:00:00"/>
        <d v="2026-08-19T00:00:00"/>
        <d v="2026-08-20T00:00:00"/>
        <d v="2026-08-21T00:00:00"/>
        <d v="2026-08-23T00:00:00"/>
        <d v="2026-08-24T00:00:00"/>
        <d v="2026-08-25T00:00:00"/>
        <d v="2026-08-26T00:00:00"/>
        <d v="2026-08-27T00:00:00"/>
        <d v="2026-08-28T00:00:00"/>
      </sharedItems>
      <fieldGroup par="18" base="1">
        <rangePr groupBy="months" startDate="2025-01-01T00:00:00" endDate="2026-08-29T00:00:00"/>
        <groupItems count="14">
          <s v="&lt;1/1/2025"/>
          <s v="Jan"/>
          <s v="Feb"/>
          <s v="Mar"/>
          <s v="Apr"/>
          <s v="May"/>
          <s v="Jun"/>
          <s v="Jul"/>
          <s v="Aug"/>
          <s v="Sep"/>
          <s v="Oct"/>
          <s v="Nov"/>
          <s v="Dec"/>
          <s v="&gt;8/29/2026"/>
        </groupItems>
      </fieldGroup>
    </cacheField>
    <cacheField name="Customer_ID" numFmtId="0">
      <sharedItems/>
    </cacheField>
    <cacheField name="Customer_Name" numFmtId="0">
      <sharedItems/>
    </cacheField>
    <cacheField name="Region" numFmtId="0">
      <sharedItems count="5">
        <s v="Yangon"/>
        <s v="Naypyidaw"/>
        <s v="Mandalay"/>
        <s v="Bago"/>
        <s v="Shan"/>
      </sharedItems>
    </cacheField>
    <cacheField name="City" numFmtId="0">
      <sharedItems/>
    </cacheField>
    <cacheField name="Product_Category" numFmtId="0">
      <sharedItems/>
    </cacheField>
    <cacheField name="Product" numFmtId="0">
      <sharedItems count="15">
        <s v="Monitor"/>
        <s v="Mouse"/>
        <s v="Meeting Table"/>
        <s v="Laptop"/>
        <s v="Printer"/>
        <s v="Headphones"/>
        <s v="Desk"/>
        <s v="USB Drive"/>
        <s v="Smartphone"/>
        <s v="Bookshelf"/>
        <s v="Power Bank"/>
        <s v="Office Chair"/>
        <s v="Webcam"/>
        <s v="Keyboard"/>
        <s v="Laptop Bag"/>
      </sharedItems>
    </cacheField>
    <cacheField name="Quantity" numFmtId="0">
      <sharedItems containsSemiMixedTypes="0" containsString="0" containsNumber="1" containsInteger="1" minValue="1" maxValue="7" count="7">
        <n v="5"/>
        <n v="2"/>
        <n v="6"/>
        <n v="1"/>
        <n v="3"/>
        <n v="7"/>
        <n v="4"/>
      </sharedItems>
    </cacheField>
    <cacheField name="Unit_Price" numFmtId="3">
      <sharedItems containsSemiMixedTypes="0" containsString="0" containsNumber="1" containsInteger="1" minValue="25800" maxValue="1349600"/>
    </cacheField>
    <cacheField name="Discount" numFmtId="9">
      <sharedItems containsSemiMixedTypes="0" containsString="0" containsNumber="1" minValue="0" maxValue="0.15"/>
    </cacheField>
    <cacheField name="Sales" numFmtId="4">
      <sharedItems containsSemiMixedTypes="0" containsString="0" containsNumber="1" containsInteger="1" minValue="-9228758" maxValue="9380000" count="942">
        <n v="1868175"/>
        <n v="763230"/>
        <n v="52256"/>
        <n v="2317525"/>
        <n v="6666150"/>
        <n v="1814470"/>
        <n v="194180"/>
        <n v="537800"/>
        <n v="0"/>
        <n v="583884"/>
        <n v="59800"/>
        <n v="1301200"/>
        <n v="170400"/>
        <n v="310000"/>
        <n v="624900"/>
        <n v="-3662535"/>
        <n v="1137600"/>
        <n v="1263600"/>
        <n v="162104"/>
        <n v="1649376"/>
        <n v="2039575"/>
        <n v="225800"/>
        <n v="-196200"/>
        <n v="1421952"/>
        <n v="634950"/>
        <n v="2184300"/>
        <n v="212800"/>
        <n v="2746752"/>
        <n v="-670864"/>
        <n v="277185"/>
        <n v="4508736"/>
        <n v="572660"/>
        <n v="384552"/>
        <n v="646400"/>
        <n v="3699000"/>
        <n v="48392"/>
        <n v="130144"/>
        <n v="-1636200"/>
        <n v="-8158220"/>
        <n v="628575"/>
        <n v="511290"/>
        <n v="410400"/>
        <n v="-1710000"/>
        <n v="1189875"/>
        <n v="185656"/>
        <n v="373400"/>
        <n v="7897540"/>
        <n v="1170976"/>
        <n v="2452000"/>
        <n v="267720"/>
        <n v="130640"/>
        <n v="124800"/>
        <n v="1177764"/>
        <n v="217350"/>
        <n v="339745"/>
        <n v="3290448"/>
        <n v="626220"/>
        <n v="1981800"/>
        <n v="26010"/>
        <n v="4209880"/>
        <n v="26820"/>
        <n v="555000"/>
        <n v="364952"/>
        <n v="6699210"/>
        <n v="1253224"/>
        <n v="277020"/>
        <n v="619780"/>
        <n v="1439700"/>
        <n v="349272"/>
        <n v="232200"/>
        <n v="1333632"/>
        <n v="1143990"/>
        <n v="127680"/>
        <n v="2084775"/>
        <n v="3711000"/>
        <n v="3709986"/>
        <n v="-340200"/>
        <n v="1963080"/>
        <n v="-861488"/>
        <n v="7708680"/>
        <n v="432060"/>
        <n v="607894"/>
        <n v="-2282700"/>
        <n v="256445"/>
        <n v="1905510"/>
        <n v="118384"/>
        <n v="50350"/>
        <n v="391500"/>
        <n v="1767136"/>
        <n v="30100"/>
        <n v="117555"/>
        <n v="504210"/>
        <n v="167940"/>
        <n v="86925"/>
        <n v="1933540"/>
        <n v="174510"/>
        <n v="1156440"/>
        <n v="175812"/>
        <n v="401800"/>
        <n v="3384500"/>
        <n v="-3362324"/>
        <n v="702400"/>
        <n v="518100"/>
        <n v="1709715"/>
        <n v="1138368"/>
        <n v="188290"/>
        <n v="591822"/>
        <n v="782400"/>
        <n v="2653350"/>
        <n v="3007795"/>
        <n v="694070"/>
        <n v="1718920"/>
        <n v="624864"/>
        <n v="45374"/>
        <n v="708300"/>
        <n v="513570"/>
        <n v="457900"/>
        <n v="253800"/>
        <n v="245916"/>
        <n v="2335880"/>
        <n v="521640"/>
        <n v="261060"/>
        <n v="160820"/>
        <n v="31400"/>
        <n v="1455000"/>
        <n v="625400"/>
        <n v="1172610"/>
        <n v="-912870"/>
        <n v="1200150"/>
        <n v="131385"/>
        <n v="294950"/>
        <n v="2227180"/>
        <n v="66200"/>
        <n v="273420"/>
        <n v="2201500"/>
        <n v="80325"/>
        <n v="584500"/>
        <n v="282624"/>
        <n v="1500520"/>
        <n v="5723550"/>
        <n v="1183770"/>
        <n v="434340"/>
        <n v="1455750"/>
        <n v="554288"/>
        <n v="141496"/>
        <n v="2236110"/>
        <n v="289800"/>
        <n v="-2207040"/>
        <n v="360360"/>
        <n v="102220"/>
        <n v="178245"/>
        <n v="5914790"/>
        <n v="3611615"/>
        <n v="128690"/>
        <n v="135000"/>
        <n v="1857630"/>
        <n v="305992"/>
        <n v="73625"/>
        <n v="685314"/>
        <n v="1984325"/>
        <n v="5568425"/>
        <n v="2680888"/>
        <n v="1167768"/>
        <n v="2768010"/>
        <n v="619590"/>
        <n v="2958750"/>
        <n v="351090"/>
        <n v="905280"/>
        <n v="298965"/>
        <n v="1464500"/>
        <n v="2591600"/>
        <n v="2425500"/>
        <n v="4803580"/>
        <n v="634600"/>
        <n v="1174040"/>
        <n v="2929200"/>
        <n v="880470"/>
        <n v="1239600"/>
        <n v="2487600"/>
        <n v="1389660"/>
        <n v="2540160"/>
        <n v="700530"/>
        <n v="2551234"/>
        <n v="2216832"/>
        <n v="1328940"/>
        <n v="-86730"/>
        <n v="415128"/>
        <n v="127890"/>
        <n v="446040"/>
        <n v="2316720"/>
        <n v="2292540"/>
        <n v="180320"/>
        <n v="328888"/>
        <n v="1246416"/>
        <n v="1375584"/>
        <n v="-178000"/>
        <n v="3038784"/>
        <n v="1498245"/>
        <n v="1804400"/>
        <n v="468924"/>
        <n v="620900"/>
        <n v="86070"/>
        <n v="2969700"/>
        <n v="1611932"/>
        <n v="-239970"/>
        <n v="964800"/>
        <n v="1108600"/>
        <n v="3062680"/>
        <n v="8350104"/>
        <n v="1164240"/>
        <n v="2125800"/>
        <n v="252264"/>
        <n v="120800"/>
        <n v="436525"/>
        <n v="481572"/>
        <n v="621585"/>
        <n v="599130"/>
        <n v="3306475"/>
        <n v="-112100"/>
        <n v="3241875"/>
        <n v="77200"/>
        <n v="-189200"/>
        <n v="844560"/>
        <n v="73720"/>
        <n v="146300"/>
        <n v="575700"/>
        <n v="2624090"/>
        <n v="90500"/>
        <n v="5857640"/>
        <n v="1969110"/>
        <n v="598976"/>
        <n v="1120905"/>
        <n v="2194000"/>
        <n v="1482840"/>
        <n v="1743660"/>
        <n v="159344"/>
        <n v="697680"/>
        <n v="697340"/>
        <n v="7723310"/>
        <n v="122550"/>
        <n v="975884"/>
        <n v="2442510"/>
        <n v="239685"/>
        <n v="1316700"/>
        <n v="1254000"/>
        <n v="2230500"/>
        <n v="1569520"/>
        <n v="500976"/>
        <n v="169200"/>
        <n v="397096"/>
        <n v="1592700"/>
        <n v="3064460"/>
        <n v="321120"/>
        <n v="313600"/>
        <n v="114816"/>
        <n v="2026000"/>
        <n v="4815600"/>
        <n v="113620"/>
        <n v="82460"/>
        <n v="28910"/>
        <n v="344176"/>
        <n v="881510"/>
        <n v="-614400"/>
        <n v="122892"/>
        <n v="366988"/>
        <n v="282625"/>
        <n v="1557808"/>
        <n v="280140"/>
        <n v="477850"/>
        <n v="166060"/>
        <n v="364420"/>
        <n v="1113210"/>
        <n v="158365"/>
        <n v="454920"/>
        <n v="4019204"/>
        <n v="285936"/>
        <n v="183540"/>
        <n v="271032"/>
        <n v="2434320"/>
        <n v="-218050"/>
        <n v="486540"/>
        <n v="1883240"/>
        <n v="30900"/>
        <n v="-505448"/>
        <n v="1561420"/>
        <n v="6653500"/>
        <n v="31350"/>
        <n v="261630"/>
        <n v="83352"/>
        <n v="449400"/>
        <n v="558992"/>
        <n v="-353584"/>
        <n v="263764"/>
        <n v="85800"/>
        <n v="634900"/>
        <n v="1652504"/>
        <n v="137788"/>
        <n v="-4354728"/>
        <n v="126540"/>
        <n v="612000"/>
        <n v="1303596"/>
        <n v="3808170"/>
        <n v="221720"/>
        <n v="1193100"/>
        <n v="-146832"/>
        <n v="795064"/>
        <n v="89760"/>
        <n v="331600"/>
        <n v="2642140"/>
        <n v="3637900"/>
        <n v="-906990"/>
        <n v="716300"/>
        <n v="1023592"/>
        <n v="3867864"/>
        <n v="253080"/>
        <n v="1546000"/>
        <n v="167040"/>
        <n v="1981560"/>
        <n v="2777572"/>
        <n v="-1598000"/>
        <n v="2697100"/>
        <n v="1216866"/>
        <n v="3164910"/>
        <n v="62008"/>
        <n v="954465"/>
        <n v="7590184"/>
        <n v="1855350"/>
        <n v="1981680"/>
        <n v="1184940"/>
        <n v="487060"/>
        <n v="342240"/>
        <n v="1381104"/>
        <n v="734400"/>
        <n v="183255"/>
        <n v="80180"/>
        <n v="4709664"/>
        <n v="1319360"/>
        <n v="118800"/>
        <n v="427500"/>
        <n v="81600"/>
        <n v="88004"/>
        <n v="8281700"/>
        <n v="127420"/>
        <n v="2470384"/>
        <n v="2210880"/>
        <n v="1015400"/>
        <n v="492940"/>
        <n v="-490728"/>
        <n v="4152512"/>
        <n v="407075"/>
        <n v="1523152"/>
        <n v="211200"/>
        <n v="352176"/>
        <n v="616550"/>
        <n v="1093800"/>
        <n v="221825"/>
        <n v="1468985"/>
        <n v="1029230"/>
        <n v="39330"/>
        <n v="2656800"/>
        <n v="483600"/>
        <n v="1648440"/>
        <n v="3722922"/>
        <n v="2177190"/>
        <n v="2545000"/>
        <n v="1489320"/>
        <n v="1228730"/>
        <n v="184100"/>
        <n v="665000"/>
        <n v="-2273160"/>
        <n v="-3664416"/>
        <n v="1312500"/>
        <n v="4177740"/>
        <n v="362600"/>
        <n v="441000"/>
        <n v="387200"/>
        <n v="485500"/>
        <n v="197200"/>
        <n v="586075"/>
        <n v="1104276"/>
        <n v="968400"/>
        <n v="792775"/>
        <n v="927180"/>
        <n v="2454928"/>
        <n v="114072"/>
        <n v="1315600"/>
        <n v="1090980"/>
        <n v="388280"/>
        <n v="569940"/>
        <n v="-376380"/>
        <n v="1985820"/>
        <n v="-372000"/>
        <n v="92055"/>
        <n v="1138956"/>
        <n v="-540316"/>
        <n v="2800000"/>
        <n v="2570130"/>
        <n v="649620"/>
        <n v="93000"/>
        <n v="506268"/>
        <n v="454680"/>
        <n v="-332808"/>
        <n v="128250"/>
        <n v="1458660"/>
        <n v="-155112"/>
        <n v="449920"/>
        <n v="492500"/>
        <n v="296976"/>
        <n v="506000"/>
        <n v="201400"/>
        <n v="562856"/>
        <n v="1883700"/>
        <n v="227360"/>
        <n v="473616"/>
        <n v="595000"/>
        <n v="91434"/>
        <n v="2791670"/>
        <n v="2880500"/>
        <n v="343712"/>
        <n v="2755900"/>
        <n v="388930"/>
        <n v="1955385"/>
        <n v="461700"/>
        <n v="218316"/>
        <n v="554580"/>
        <n v="478730"/>
        <n v="639730"/>
        <n v="-870840"/>
        <n v="-2720900"/>
        <n v="1526448"/>
        <n v="83496"/>
        <n v="912000"/>
        <n v="194236"/>
        <n v="-71900"/>
        <n v="720800"/>
        <n v="1067400"/>
        <n v="1154725"/>
        <n v="89700"/>
        <n v="-9228758"/>
        <n v="56252"/>
        <n v="5339600"/>
        <n v="1092420"/>
        <n v="1613680"/>
        <n v="218442"/>
        <n v="-3571050"/>
        <n v="1407140"/>
        <n v="627570"/>
        <n v="1417168"/>
        <n v="256128"/>
        <n v="271068"/>
        <n v="62928"/>
        <n v="2804368"/>
        <n v="2003400"/>
        <n v="1712900"/>
        <n v="1678080"/>
        <n v="45800"/>
        <n v="721200"/>
        <n v="616308"/>
        <n v="463400"/>
        <n v="165870"/>
        <n v="437920"/>
        <n v="41500"/>
        <n v="647220"/>
        <n v="173460"/>
        <n v="68894"/>
        <n v="380240"/>
        <n v="939080"/>
        <n v="177200"/>
        <n v="168176"/>
        <n v="191520"/>
        <n v="1395645"/>
        <n v="-336720"/>
        <n v="4754180"/>
        <n v="1186248"/>
        <n v="236000"/>
        <n v="135450"/>
        <n v="970984"/>
        <n v="45900"/>
        <n v="192600"/>
        <n v="1502912"/>
        <n v="43200"/>
        <n v="3738504"/>
        <n v="748132"/>
        <n v="402960"/>
        <n v="1561000"/>
        <n v="1163708"/>
        <n v="-160455"/>
        <n v="2435895"/>
        <n v="202860"/>
        <n v="1173256"/>
        <n v="1971150"/>
        <n v="-190000"/>
        <n v="327940"/>
        <n v="296780"/>
        <n v="3529400"/>
        <n v="1223824"/>
        <n v="5486420"/>
        <n v="168400"/>
        <n v="1982100"/>
        <n v="7526610"/>
        <n v="-232554"/>
        <n v="1249108"/>
        <n v="1575480"/>
        <n v="693000"/>
        <n v="340400"/>
        <n v="-444410"/>
        <n v="91010"/>
        <n v="3080500"/>
        <n v="82110"/>
        <n v="507300"/>
        <n v="99900"/>
        <n v="225000"/>
        <n v="59090"/>
        <n v="1157500"/>
        <n v="996645"/>
        <n v="501200"/>
        <n v="643055"/>
        <n v="442176"/>
        <n v="123025"/>
        <n v="492548"/>
        <n v="94500"/>
        <n v="788000"/>
        <n v="-175560"/>
        <n v="237600"/>
        <n v="-816960"/>
        <n v="-360150"/>
        <n v="1079712"/>
        <n v="1703065"/>
        <n v="934920"/>
        <n v="1375032"/>
        <n v="436500"/>
        <n v="-2075700"/>
        <n v="1477080"/>
        <n v="239568"/>
        <n v="399056"/>
        <n v="1730000"/>
        <n v="3612900"/>
        <n v="157688"/>
        <n v="1116060"/>
        <n v="609210"/>
        <n v="971520"/>
        <n v="1923000"/>
        <n v="532728"/>
        <n v="174895"/>
        <n v="372048"/>
        <n v="1069320"/>
        <n v="186760"/>
        <n v="168000"/>
        <n v="249220"/>
        <n v="430500"/>
        <n v="582420"/>
        <n v="3651990"/>
        <n v="-1422720"/>
        <n v="111600"/>
        <n v="604624"/>
        <n v="426930"/>
        <n v="164160"/>
        <n v="456390"/>
        <n v="1504104"/>
        <n v="360272"/>
        <n v="-1623000"/>
        <n v="115640"/>
        <n v="75960"/>
        <n v="598388"/>
        <n v="1126200"/>
        <n v="417676"/>
        <n v="275772"/>
        <n v="1201560"/>
        <n v="907725"/>
        <n v="228960"/>
        <n v="2527760"/>
        <n v="288604"/>
        <n v="133400"/>
        <n v="1150925"/>
        <n v="87100"/>
        <n v="649600"/>
        <n v="509010"/>
        <n v="96900"/>
        <n v="3688740"/>
        <n v="527535"/>
        <n v="4086810"/>
        <n v="28518"/>
        <n v="1047424"/>
        <n v="157192"/>
        <n v="4665500"/>
        <n v="-131100"/>
        <n v="2389060"/>
        <n v="573420"/>
        <n v="730800"/>
        <n v="474660"/>
        <n v="523848"/>
        <n v="6107420"/>
        <n v="606060"/>
        <n v="372416"/>
        <n v="324576"/>
        <n v="1171590"/>
        <n v="-1877260"/>
        <n v="8613080"/>
        <n v="-9144100"/>
        <n v="1530680"/>
        <n v="1354050"/>
        <n v="447660"/>
        <n v="74880"/>
        <n v="551700"/>
        <n v="187866"/>
        <n v="176640"/>
        <n v="461090"/>
        <n v="225720"/>
        <n v="686280"/>
        <n v="145176"/>
        <n v="462420"/>
        <n v="50730"/>
        <n v="1257800"/>
        <n v="50540"/>
        <n v="3345672"/>
        <n v="230736"/>
        <n v="300780"/>
        <n v="452000"/>
        <n v="196882"/>
        <n v="1586130"/>
        <n v="842000"/>
        <n v="287375"/>
        <n v="1618995"/>
        <n v="263304"/>
        <n v="1381680"/>
        <n v="1134300"/>
        <n v="1405530"/>
        <n v="445550"/>
        <n v="277470"/>
        <n v="528220"/>
        <n v="511020"/>
        <n v="317220"/>
        <n v="1982080"/>
        <n v="2146200"/>
        <n v="2192400"/>
        <n v="-2055325"/>
        <n v="553800"/>
        <n v="129654"/>
        <n v="194750"/>
        <n v="40670"/>
        <n v="66884"/>
        <n v="551950"/>
        <n v="3769500"/>
        <n v="511860"/>
        <n v="75735"/>
        <n v="254400"/>
        <n v="482552"/>
        <n v="550200"/>
        <n v="2555700"/>
        <n v="1209984"/>
        <n v="675318"/>
        <n v="2272020"/>
        <n v="629062"/>
        <n v="2290920"/>
        <n v="681720"/>
        <n v="179400"/>
        <n v="-1226640"/>
        <n v="304920"/>
        <n v="84180"/>
        <n v="475095"/>
        <n v="232560"/>
        <n v="92610"/>
        <n v="321390"/>
        <n v="2032912"/>
        <n v="3846000"/>
        <n v="3852960"/>
        <n v="-503884"/>
        <n v="343045"/>
        <n v="94944"/>
        <n v="2484300"/>
        <n v="2048984"/>
        <n v="2686800"/>
        <n v="220875"/>
        <n v="-2691255"/>
        <n v="949072"/>
        <n v="433770"/>
        <n v="514556"/>
        <n v="469110"/>
        <n v="1639890"/>
        <n v="231600"/>
        <n v="2010000"/>
        <n v="-196000"/>
        <n v="1188732"/>
        <n v="658756"/>
        <n v="1105515"/>
        <n v="1390800"/>
        <n v="651605"/>
        <n v="29340"/>
        <n v="81320"/>
        <n v="594044"/>
        <n v="924160"/>
        <n v="458620"/>
        <n v="185472"/>
        <n v="1444200"/>
        <n v="551448"/>
        <n v="2366450"/>
        <n v="-480510"/>
        <n v="1955200"/>
        <n v="2528344"/>
        <n v="242604"/>
        <n v="1588500"/>
        <n v="516852"/>
        <n v="159600"/>
        <n v="135320"/>
        <n v="1875300"/>
        <n v="4087468"/>
        <n v="271800"/>
        <n v="138225"/>
        <n v="-63600"/>
        <n v="596232"/>
        <n v="9380000"/>
        <n v="1768200"/>
        <n v="1258008"/>
        <n v="2455200"/>
        <n v="346840"/>
        <n v="1627800"/>
        <n v="370300"/>
        <n v="2295216"/>
        <n v="510720"/>
        <n v="3149328"/>
        <n v="444600"/>
        <n v="639800"/>
        <n v="-139320"/>
        <n v="1502235"/>
        <n v="-1832100"/>
        <n v="602490"/>
        <n v="116816"/>
        <n v="143060"/>
        <n v="942760"/>
        <n v="194628"/>
        <n v="396500"/>
        <n v="800850"/>
        <n v="980400"/>
        <n v="1182300"/>
        <n v="592480"/>
        <n v="1748190"/>
        <n v="559740"/>
        <n v="2660500"/>
        <n v="910524"/>
        <n v="106000"/>
        <n v="81630"/>
        <n v="172400"/>
        <n v="-93600"/>
        <n v="1461474"/>
        <n v="83904"/>
        <n v="537510"/>
        <n v="1056528"/>
        <n v="1200500"/>
        <n v="2577000"/>
        <n v="410780"/>
        <n v="92512"/>
        <n v="1311200"/>
        <n v="82080"/>
        <n v="426075"/>
        <n v="51600"/>
        <n v="1075875"/>
        <n v="55200"/>
        <n v="2492100"/>
        <n v="1165650"/>
        <n v="365056"/>
        <n v="690802"/>
        <n v="366520"/>
        <n v="250410"/>
        <n v="1034448"/>
        <n v="7612350"/>
        <n v="286488"/>
        <n v="8578500"/>
        <n v="1142470"/>
        <n v="145825"/>
        <n v="215110"/>
        <n v="423700"/>
        <n v="242052"/>
        <n v="1873074"/>
        <n v="528264"/>
        <n v="419760"/>
        <n v="3580548"/>
        <n v="2687944"/>
        <n v="329840"/>
        <n v="3616788"/>
        <n v="43600"/>
        <n v="2446740"/>
        <n v="2452744"/>
        <n v="174610"/>
        <n v="98784"/>
        <n v="161210"/>
        <n v="274596"/>
        <n v="3772440"/>
        <n v="153456"/>
        <n v="379848"/>
        <n v="382400"/>
        <n v="-1164225"/>
        <n v="1197380"/>
        <n v="1375125"/>
        <n v="328100"/>
        <n v="187530"/>
        <n v="-358910"/>
        <n v="1151012"/>
        <n v="185220"/>
        <n v="264330"/>
        <n v="143500"/>
        <n v="91080"/>
        <n v="4797880"/>
        <n v="1264632"/>
        <n v="54684"/>
        <n v="1391796"/>
        <n v="-118400"/>
        <n v="1848700"/>
        <n v="3636030"/>
        <n v="786156"/>
        <n v="114264"/>
        <n v="102600"/>
        <n v="46158"/>
        <n v="297255"/>
        <n v="89148"/>
        <n v="37400"/>
        <n v="605370"/>
        <n v="3503500"/>
        <n v="252600"/>
        <n v="237690"/>
        <n v="519900"/>
        <n v="308936"/>
        <n v="6295500"/>
        <n v="-344660"/>
        <n v="884640"/>
        <n v="-2631800"/>
        <n v="90068"/>
        <n v="469000"/>
        <n v="-2104400"/>
        <n v="1294200"/>
        <n v="2284968"/>
        <n v="3589800"/>
        <n v="1524940"/>
        <n v="88635"/>
        <n v="169344"/>
        <n v="518490"/>
        <n v="590520"/>
        <n v="-80960"/>
        <n v="358190"/>
        <n v="3859100"/>
        <n v="548400"/>
        <n v="671048"/>
        <n v="463148"/>
        <n v="1161600"/>
        <n v="369265"/>
        <n v="-7405440"/>
        <n v="215740"/>
        <n v="5226750"/>
        <n v="126960"/>
        <n v="1453968"/>
        <n v="4611960"/>
        <n v="1030800"/>
        <n v="744420"/>
        <n v="818800"/>
        <n v="443500"/>
        <n v="2037180"/>
        <n v="7336470"/>
        <n v="-859370"/>
        <n v="235980"/>
        <n v="519400"/>
        <n v="676200"/>
        <n v="317205"/>
        <n v="-435100"/>
        <n v="517905"/>
        <n v="7249500"/>
        <n v="579120"/>
        <n v="263910"/>
        <n v="434625"/>
        <n v="353400"/>
        <n v="-309225"/>
        <n v="1486720"/>
        <n v="237405"/>
        <n v="113712"/>
        <n v="1066200"/>
        <n v="-3677976"/>
        <n v="429824"/>
        <n v="4377100"/>
        <n v="1093680"/>
        <n v="1693734"/>
        <n v="2045825"/>
        <n v="24564"/>
        <n v="173340"/>
        <n v="3463524"/>
        <n v="85836"/>
        <n v="-882784"/>
        <n v="792120"/>
        <n v="67424"/>
        <n v="-251085"/>
        <n v="1119552"/>
        <n v="-2087498"/>
        <n v="283480"/>
        <n v="1967640"/>
        <n v="883200"/>
        <n v="1953000"/>
        <n v="1394352"/>
        <n v="218932"/>
        <n v="156750"/>
        <n v="396704"/>
        <n v="167960"/>
        <n v="178885"/>
        <n v="2507820"/>
        <n v="675024"/>
        <n v="1453025"/>
        <n v="243675"/>
        <n v="1306032"/>
        <n v="66555"/>
        <n v="3458000"/>
        <n v="301350"/>
        <n v="87906"/>
        <n v="174244"/>
        <n v="759200"/>
        <n v="1942675"/>
        <n v="504630"/>
        <n v="3985716"/>
        <n v="2589300"/>
        <n v="171672"/>
        <n v="6073200"/>
        <n v="66690"/>
        <n v="1851960"/>
        <n v="399950"/>
        <n v="2300400"/>
        <n v="8485134"/>
        <n v="213640"/>
        <n v="-3616080"/>
        <n v="-183456"/>
        <n v="4106592"/>
        <n v="1108086"/>
        <n v="106560"/>
        <n v="1366384"/>
        <n v="3154140"/>
        <n v="1110500"/>
        <n v="232750"/>
        <n v="2072208"/>
        <n v="-186200"/>
        <n v="376675"/>
        <n v="78384"/>
        <n v="271768"/>
        <n v="7270944"/>
        <n v="537985"/>
        <n v="188000"/>
        <n v="152720"/>
        <n v="98040"/>
        <n v="242844"/>
      </sharedItems>
    </cacheField>
    <cacheField name="Cost" numFmtId="0">
      <sharedItems containsSemiMixedTypes="0" containsString="0" containsNumber="1" containsInteger="1" minValue="-6650000" maxValue="6650000"/>
    </cacheField>
    <cacheField name="Profit" numFmtId="0">
      <sharedItems containsSemiMixedTypes="0" containsString="0" containsNumber="1" containsInteger="1" minValue="-2578758" maxValue="2730000"/>
    </cacheField>
    <cacheField name="Payment_Method" numFmtId="0">
      <sharedItems/>
    </cacheField>
    <cacheField name="Salesperson" numFmtId="0">
      <sharedItems/>
    </cacheField>
    <cacheField name="Order_Status" numFmtId="0">
      <sharedItems/>
    </cacheField>
    <cacheField name="Quarters" numFmtId="0" databaseField="0">
      <fieldGroup base="1">
        <rangePr groupBy="quarters" startDate="2025-01-01T00:00:00" endDate="2026-08-29T00:00:00"/>
        <groupItems count="6">
          <s v="&lt;1/1/2025"/>
          <s v="Qtr1"/>
          <s v="Qtr2"/>
          <s v="Qtr3"/>
          <s v="Qtr4"/>
          <s v="&gt;8/29/2026"/>
        </groupItems>
      </fieldGroup>
    </cacheField>
    <cacheField name="Years" numFmtId="0" databaseField="0">
      <fieldGroup base="1">
        <rangePr groupBy="years" startDate="2025-01-01T00:00:00" endDate="2026-08-29T00:00:00"/>
        <groupItems count="4">
          <s v="&lt;1/1/2025"/>
          <s v="2025"/>
          <s v="2026"/>
          <s v="&gt;8/29/2026"/>
        </groupItems>
      </fieldGroup>
    </cacheField>
  </cacheFields>
  <extLst>
    <ext xmlns:x14="http://schemas.microsoft.com/office/spreadsheetml/2009/9/main" uri="{725AE2AE-9491-48be-B2B4-4EB974FC3084}">
      <x14:pivotCacheDefinition pivotCacheId="11410164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153"/>
    <x v="0"/>
    <s v="CUST-0181"/>
    <s v="Customer 181"/>
    <x v="0"/>
    <s v="Hlaing"/>
    <s v="Electronics"/>
    <x v="0"/>
    <x v="0"/>
    <n v="393300"/>
    <n v="0.05"/>
    <x v="0"/>
    <n v="1500000"/>
    <n v="368175"/>
    <s v="Credit Card"/>
    <s v="Su Su"/>
    <s v="Completed"/>
  </r>
  <r>
    <s v="ORD-00926"/>
    <x v="0"/>
    <s v="CUST-0132"/>
    <s v="Customer 132"/>
    <x v="1"/>
    <s v="Naypyidaw"/>
    <s v="Electronics"/>
    <x v="0"/>
    <x v="1"/>
    <n v="401700"/>
    <n v="0.05"/>
    <x v="1"/>
    <n v="600000"/>
    <n v="163230"/>
    <s v="Bank Transfer"/>
    <s v="Nandar"/>
    <s v="Completed"/>
  </r>
  <r>
    <s v="ORD-00519"/>
    <x v="0"/>
    <s v="CUST-0097"/>
    <s v="Customer 097"/>
    <x v="2"/>
    <s v="Amarapura"/>
    <s v="Office Supplies"/>
    <x v="1"/>
    <x v="1"/>
    <n v="28400"/>
    <n v="0.08"/>
    <x v="2"/>
    <n v="30000"/>
    <n v="22256"/>
    <s v="Cash"/>
    <s v="Su Su"/>
    <s v="Completed"/>
  </r>
  <r>
    <s v="ORD-00847"/>
    <x v="0"/>
    <s v="CUST-0095"/>
    <s v="Customer 095"/>
    <x v="2"/>
    <s v="Mandalay"/>
    <s v="Furniture"/>
    <x v="2"/>
    <x v="0"/>
    <n v="487900"/>
    <n v="0.05"/>
    <x v="3"/>
    <n v="1825000"/>
    <n v="492525"/>
    <s v="Credit Card"/>
    <s v="Nandar"/>
    <s v="Completed"/>
  </r>
  <r>
    <s v="ORD-00148"/>
    <x v="1"/>
    <s v="CUST-0084"/>
    <s v="Customer 084"/>
    <x v="0"/>
    <s v="Yangon"/>
    <s v="Electronics"/>
    <x v="3"/>
    <x v="2"/>
    <n v="1169500"/>
    <n v="0.05"/>
    <x v="4"/>
    <n v="5700000"/>
    <n v="966150"/>
    <s v="Cash"/>
    <s v="Su Su"/>
    <s v="Completed"/>
  </r>
  <r>
    <s v="ORD-00162"/>
    <x v="2"/>
    <s v="CUST-0207"/>
    <s v="Customer 207"/>
    <x v="2"/>
    <s v="Amarapura"/>
    <s v="Office Supplies"/>
    <x v="4"/>
    <x v="0"/>
    <n v="370300"/>
    <n v="0.02"/>
    <x v="5"/>
    <n v="1400000"/>
    <n v="414470"/>
    <s v="Bank Transfer"/>
    <s v="Htet Htet"/>
    <s v="Completed"/>
  </r>
  <r>
    <s v="ORD-00411"/>
    <x v="3"/>
    <s v="CUST-0135"/>
    <s v="Customer 135"/>
    <x v="0"/>
    <s v="Hlaing"/>
    <s v="Electronics"/>
    <x v="5"/>
    <x v="1"/>
    <n v="102200"/>
    <n v="0.05"/>
    <x v="6"/>
    <n v="110000"/>
    <n v="84180"/>
    <s v="Bank Transfer"/>
    <s v="Nandar"/>
    <s v="Completed"/>
  </r>
  <r>
    <s v="ORD-00672"/>
    <x v="4"/>
    <s v="CUST-0017"/>
    <s v="Customer 017"/>
    <x v="0"/>
    <s v="Mayangone"/>
    <s v="Furniture"/>
    <x v="2"/>
    <x v="3"/>
    <n v="537800"/>
    <n v="0"/>
    <x v="7"/>
    <n v="365000"/>
    <n v="172800"/>
    <s v="Bank Transfer"/>
    <s v="Kyaw Kyaw"/>
    <s v="Completed"/>
  </r>
  <r>
    <s v="ORD-00610"/>
    <x v="5"/>
    <s v="CUST-0117"/>
    <s v="Customer 117"/>
    <x v="3"/>
    <s v="Bago"/>
    <s v="Electronics"/>
    <x v="0"/>
    <x v="1"/>
    <n v="447300"/>
    <n v="0"/>
    <x v="8"/>
    <n v="0"/>
    <n v="0"/>
    <s v="KBZ Pay"/>
    <s v="Htet Htet"/>
    <s v="Cancelled"/>
  </r>
  <r>
    <s v="ORD-00168"/>
    <x v="6"/>
    <s v="CUST-0060"/>
    <s v="Customer 060"/>
    <x v="0"/>
    <s v="Yangon"/>
    <s v="Furniture"/>
    <x v="6"/>
    <x v="1"/>
    <n v="297900"/>
    <n v="0.02"/>
    <x v="9"/>
    <n v="420000"/>
    <n v="163884"/>
    <s v="Credit Card"/>
    <s v="May Zin"/>
    <s v="Completed"/>
  </r>
  <r>
    <s v="ORD-00076"/>
    <x v="6"/>
    <s v="CUST-0203"/>
    <s v="Customer 203"/>
    <x v="2"/>
    <s v="Amarapura"/>
    <s v="Accessories"/>
    <x v="7"/>
    <x v="1"/>
    <n v="29900"/>
    <n v="0"/>
    <x v="10"/>
    <n v="36000"/>
    <n v="23800"/>
    <s v="Cash"/>
    <s v="May Zin"/>
    <s v="Completed"/>
  </r>
  <r>
    <s v="ORD-00379"/>
    <x v="7"/>
    <s v="CUST-0190"/>
    <s v="Customer 190"/>
    <x v="2"/>
    <s v="Amarapura"/>
    <s v="Electronics"/>
    <x v="8"/>
    <x v="1"/>
    <n v="650600"/>
    <n v="0"/>
    <x v="11"/>
    <n v="940000"/>
    <n v="361200"/>
    <s v="Credit Card"/>
    <s v="May Zin"/>
    <s v="Completed"/>
  </r>
  <r>
    <s v="ORD-00470"/>
    <x v="8"/>
    <s v="CUST-0171"/>
    <s v="Customer 171"/>
    <x v="4"/>
    <s v="Lashio"/>
    <s v="Furniture"/>
    <x v="9"/>
    <x v="3"/>
    <n v="170400"/>
    <n v="0"/>
    <x v="12"/>
    <n v="115000"/>
    <n v="55400"/>
    <s v="Bank Transfer"/>
    <s v="Aung Aung"/>
    <s v="Completed"/>
  </r>
  <r>
    <s v="ORD-00661"/>
    <x v="8"/>
    <s v="CUST-0160"/>
    <s v="Customer 160"/>
    <x v="0"/>
    <s v="Hlaing"/>
    <s v="Furniture"/>
    <x v="6"/>
    <x v="3"/>
    <n v="310000"/>
    <n v="0"/>
    <x v="13"/>
    <n v="210000"/>
    <n v="100000"/>
    <s v="Cash"/>
    <s v="Kyaw Kyaw"/>
    <s v="Completed"/>
  </r>
  <r>
    <s v="ORD-00438"/>
    <x v="8"/>
    <s v="CUST-0179"/>
    <s v="Customer 179"/>
    <x v="0"/>
    <s v="Mayangone"/>
    <s v="Electronics"/>
    <x v="8"/>
    <x v="3"/>
    <n v="624900"/>
    <n v="0"/>
    <x v="14"/>
    <n v="470000"/>
    <n v="154900"/>
    <s v="Cash"/>
    <s v="Htet Htet"/>
    <s v="Completed"/>
  </r>
  <r>
    <s v="ORD-00768"/>
    <x v="9"/>
    <s v="CUST-0236"/>
    <s v="Customer 236"/>
    <x v="3"/>
    <s v="Pyay"/>
    <s v="Office Supplies"/>
    <x v="1"/>
    <x v="1"/>
    <n v="26200"/>
    <n v="0.05"/>
    <x v="8"/>
    <n v="0"/>
    <n v="0"/>
    <s v="KBZ Pay"/>
    <s v="Htet Htet"/>
    <s v="Cancelled"/>
  </r>
  <r>
    <s v="ORD-00507"/>
    <x v="9"/>
    <s v="CUST-0030"/>
    <s v="Customer 030"/>
    <x v="0"/>
    <s v="Hlaing"/>
    <s v="Electronics"/>
    <x v="3"/>
    <x v="4"/>
    <n v="1285100"/>
    <n v="0.05"/>
    <x v="15"/>
    <n v="-2850000"/>
    <n v="-812535"/>
    <s v="Wave Money"/>
    <s v="Su Su"/>
    <s v="Returned"/>
  </r>
  <r>
    <s v="ORD-00204"/>
    <x v="9"/>
    <s v="CUST-0121"/>
    <s v="Customer 121"/>
    <x v="2"/>
    <s v="Amarapura"/>
    <s v="Furniture"/>
    <x v="9"/>
    <x v="2"/>
    <n v="189600"/>
    <n v="0"/>
    <x v="16"/>
    <n v="690000"/>
    <n v="447600"/>
    <s v="Bank Transfer"/>
    <s v="Htet Htet"/>
    <s v="Completed"/>
  </r>
  <r>
    <s v="ORD-00642"/>
    <x v="9"/>
    <s v="CUST-0185"/>
    <s v="Customer 185"/>
    <x v="0"/>
    <s v="Mayangone"/>
    <s v="Electronics"/>
    <x v="0"/>
    <x v="4"/>
    <n v="421200"/>
    <n v="0"/>
    <x v="17"/>
    <n v="900000"/>
    <n v="363600"/>
    <s v="Bank Transfer"/>
    <s v="May Zin"/>
    <s v="Completed"/>
  </r>
  <r>
    <s v="ORD-00573"/>
    <x v="10"/>
    <s v="CUST-0129"/>
    <s v="Customer 129"/>
    <x v="0"/>
    <s v="Hlaing"/>
    <s v="Accessories"/>
    <x v="10"/>
    <x v="1"/>
    <n v="88100"/>
    <n v="0.08"/>
    <x v="18"/>
    <n v="116000"/>
    <n v="46104"/>
    <s v="Cash"/>
    <s v="May Zin"/>
    <s v="Completed"/>
  </r>
  <r>
    <s v="ORD-00296"/>
    <x v="11"/>
    <s v="CUST-0046"/>
    <s v="Customer 046"/>
    <x v="0"/>
    <s v="Hlaing"/>
    <s v="Furniture"/>
    <x v="6"/>
    <x v="2"/>
    <n v="298800"/>
    <n v="0.08"/>
    <x v="19"/>
    <n v="1260000"/>
    <n v="389376"/>
    <s v="KBZ Pay"/>
    <s v="Thiri"/>
    <s v="Completed"/>
  </r>
  <r>
    <s v="ORD-00908"/>
    <x v="11"/>
    <s v="CUST-0232"/>
    <s v="Customer 232"/>
    <x v="0"/>
    <s v="Tamwe"/>
    <s v="Furniture"/>
    <x v="2"/>
    <x v="0"/>
    <n v="479900"/>
    <n v="0.15"/>
    <x v="20"/>
    <n v="1825000"/>
    <n v="214575"/>
    <s v="Bank Transfer"/>
    <s v="Aung Aung"/>
    <s v="Completed"/>
  </r>
  <r>
    <s v="ORD-00433"/>
    <x v="12"/>
    <s v="CUST-0140"/>
    <s v="Customer 140"/>
    <x v="0"/>
    <s v="Yangon"/>
    <s v="Office Supplies"/>
    <x v="11"/>
    <x v="3"/>
    <n v="225800"/>
    <n v="0"/>
    <x v="21"/>
    <n v="165000"/>
    <n v="60800"/>
    <s v="KBZ Pay"/>
    <s v="May Zin"/>
    <s v="Completed"/>
  </r>
  <r>
    <s v="ORD-00228"/>
    <x v="12"/>
    <s v="CUST-0247"/>
    <s v="Customer 247"/>
    <x v="4"/>
    <s v="Taunggyi"/>
    <s v="Accessories"/>
    <x v="7"/>
    <x v="2"/>
    <n v="32700"/>
    <n v="0"/>
    <x v="22"/>
    <n v="-108000"/>
    <n v="-88200"/>
    <s v="Wave Money"/>
    <s v="Nandar"/>
    <s v="Returned"/>
  </r>
  <r>
    <s v="ORD-00107"/>
    <x v="13"/>
    <s v="CUST-0215"/>
    <s v="Customer 215"/>
    <x v="4"/>
    <s v="Muse"/>
    <s v="Office Supplies"/>
    <x v="11"/>
    <x v="2"/>
    <n v="257600"/>
    <n v="0.08"/>
    <x v="23"/>
    <n v="990000"/>
    <n v="431952"/>
    <s v="Cash"/>
    <s v="Thiri"/>
    <s v="Completed"/>
  </r>
  <r>
    <s v="ORD-00571"/>
    <x v="13"/>
    <s v="CUST-0199"/>
    <s v="Customer 199"/>
    <x v="0"/>
    <s v="Hlaing"/>
    <s v="Office Supplies"/>
    <x v="11"/>
    <x v="4"/>
    <n v="249000"/>
    <n v="0.15"/>
    <x v="24"/>
    <n v="495000"/>
    <n v="139950"/>
    <s v="Wave Money"/>
    <s v="Aung Aung"/>
    <s v="Completed"/>
  </r>
  <r>
    <s v="ORD-00383"/>
    <x v="14"/>
    <s v="CUST-0077"/>
    <s v="Customer 077"/>
    <x v="0"/>
    <s v="Tamwe"/>
    <s v="Office Supplies"/>
    <x v="4"/>
    <x v="2"/>
    <n v="404500"/>
    <n v="0.1"/>
    <x v="25"/>
    <n v="1680000"/>
    <n v="504300"/>
    <s v="Wave Money"/>
    <s v="Aung Aung"/>
    <s v="Completed"/>
  </r>
  <r>
    <s v="ORD-00629"/>
    <x v="14"/>
    <s v="CUST-0113"/>
    <s v="Customer 113"/>
    <x v="0"/>
    <s v="Hlaing"/>
    <s v="Accessories"/>
    <x v="7"/>
    <x v="5"/>
    <n v="32000"/>
    <n v="0.05"/>
    <x v="26"/>
    <n v="126000"/>
    <n v="86800"/>
    <s v="KBZ Pay"/>
    <s v="Kyaw Kyaw"/>
    <s v="Completed"/>
  </r>
  <r>
    <s v="ORD-00739"/>
    <x v="15"/>
    <s v="CUST-0204"/>
    <s v="Customer 204"/>
    <x v="3"/>
    <s v="Pyay"/>
    <s v="Furniture"/>
    <x v="2"/>
    <x v="2"/>
    <n v="497600"/>
    <n v="0.08"/>
    <x v="27"/>
    <n v="2190000"/>
    <n v="556752"/>
    <s v="Bank Transfer"/>
    <s v="Thiri"/>
    <s v="Completed"/>
  </r>
  <r>
    <s v="ORD-00810"/>
    <x v="15"/>
    <s v="CUST-0097"/>
    <s v="Customer 097"/>
    <x v="4"/>
    <s v="Lashio"/>
    <s v="Furniture"/>
    <x v="9"/>
    <x v="6"/>
    <n v="182300"/>
    <n v="0.08"/>
    <x v="28"/>
    <n v="-460000"/>
    <n v="-210864"/>
    <s v="Credit Card"/>
    <s v="Nandar"/>
    <s v="Returned"/>
  </r>
  <r>
    <s v="ORD-00248"/>
    <x v="15"/>
    <s v="CUST-0091"/>
    <s v="Customer 091"/>
    <x v="2"/>
    <s v="Mandalay"/>
    <s v="Furniture"/>
    <x v="6"/>
    <x v="3"/>
    <n v="326100"/>
    <n v="0.15"/>
    <x v="29"/>
    <n v="210000"/>
    <n v="67185"/>
    <s v="Cash"/>
    <s v="Kyaw Kyaw"/>
    <s v="Completed"/>
  </r>
  <r>
    <s v="ORD-00563"/>
    <x v="15"/>
    <s v="CUST-0041"/>
    <s v="Customer 041"/>
    <x v="2"/>
    <s v="Chanmyathazi"/>
    <s v="Electronics"/>
    <x v="3"/>
    <x v="6"/>
    <n v="1225200"/>
    <n v="0.08"/>
    <x v="30"/>
    <n v="3800000"/>
    <n v="708736"/>
    <s v="KBZ Pay"/>
    <s v="Thiri"/>
    <s v="Completed"/>
  </r>
  <r>
    <s v="ORD-00347"/>
    <x v="15"/>
    <s v="CUST-0176"/>
    <s v="Customer 176"/>
    <x v="1"/>
    <s v="Pyinmana"/>
    <s v="Furniture"/>
    <x v="6"/>
    <x v="1"/>
    <n v="301400"/>
    <n v="0.05"/>
    <x v="31"/>
    <n v="420000"/>
    <n v="152660"/>
    <s v="Bank Transfer"/>
    <s v="May Zin"/>
    <s v="Completed"/>
  </r>
  <r>
    <s v="ORD-00209"/>
    <x v="15"/>
    <s v="CUST-0047"/>
    <s v="Customer 047"/>
    <x v="2"/>
    <s v="Amarapura"/>
    <s v="Electronics"/>
    <x v="0"/>
    <x v="3"/>
    <n v="392400"/>
    <n v="0.02"/>
    <x v="32"/>
    <n v="300000"/>
    <n v="84552"/>
    <s v="Wave Money"/>
    <s v="Min Min"/>
    <s v="Completed"/>
  </r>
  <r>
    <s v="ORD-00641"/>
    <x v="16"/>
    <s v="CUST-0225"/>
    <s v="Customer 225"/>
    <x v="2"/>
    <s v="Amarapura"/>
    <s v="Furniture"/>
    <x v="6"/>
    <x v="1"/>
    <n v="323200"/>
    <n v="0"/>
    <x v="33"/>
    <n v="420000"/>
    <n v="226400"/>
    <s v="Wave Money"/>
    <s v="Aung Aung"/>
    <s v="Completed"/>
  </r>
  <r>
    <s v="ORD-00540"/>
    <x v="16"/>
    <s v="CUST-0119"/>
    <s v="Customer 119"/>
    <x v="4"/>
    <s v="Muse"/>
    <s v="Electronics"/>
    <x v="8"/>
    <x v="2"/>
    <n v="685000"/>
    <n v="0.1"/>
    <x v="34"/>
    <n v="2820000"/>
    <n v="879000"/>
    <s v="KBZ Pay"/>
    <s v="Kyaw Kyaw"/>
    <s v="Completed"/>
  </r>
  <r>
    <s v="ORD-00738"/>
    <x v="16"/>
    <s v="CUST-0191"/>
    <s v="Customer 191"/>
    <x v="0"/>
    <s v="Hlaing"/>
    <s v="Office Supplies"/>
    <x v="1"/>
    <x v="1"/>
    <n v="26300"/>
    <n v="0.08"/>
    <x v="35"/>
    <n v="30000"/>
    <n v="18392"/>
    <s v="Cash"/>
    <s v="Thiri"/>
    <s v="Completed"/>
  </r>
  <r>
    <s v="ORD-00428"/>
    <x v="17"/>
    <s v="CUST-0197"/>
    <s v="Customer 197"/>
    <x v="3"/>
    <s v="Pyay"/>
    <s v="Accessories"/>
    <x v="7"/>
    <x v="6"/>
    <n v="33200"/>
    <n v="0.02"/>
    <x v="36"/>
    <n v="72000"/>
    <n v="58144"/>
    <s v="KBZ Pay"/>
    <s v="Kyaw Kyaw"/>
    <s v="Completed"/>
  </r>
  <r>
    <s v="ORD-00340"/>
    <x v="17"/>
    <s v="CUST-0056"/>
    <s v="Customer 056"/>
    <x v="1"/>
    <s v="Pyinmana"/>
    <s v="Furniture"/>
    <x v="2"/>
    <x v="4"/>
    <n v="545400"/>
    <n v="0"/>
    <x v="37"/>
    <n v="-1095000"/>
    <n v="-541200"/>
    <s v="Wave Money"/>
    <s v="Su Su"/>
    <s v="Returned"/>
  </r>
  <r>
    <s v="ORD-00080"/>
    <x v="18"/>
    <s v="CUST-0039"/>
    <s v="Customer 039"/>
    <x v="2"/>
    <s v="Mandalay"/>
    <s v="Electronics"/>
    <x v="3"/>
    <x v="5"/>
    <n v="1226800"/>
    <n v="0.05"/>
    <x v="38"/>
    <n v="-6650000"/>
    <n v="-1508220"/>
    <s v="Wave Money"/>
    <s v="Min Min"/>
    <s v="Returned"/>
  </r>
  <r>
    <s v="ORD-00792"/>
    <x v="18"/>
    <s v="CUST-0167"/>
    <s v="Customer 167"/>
    <x v="2"/>
    <s v="Amarapura"/>
    <s v="Office Supplies"/>
    <x v="11"/>
    <x v="4"/>
    <n v="246500"/>
    <n v="0.15"/>
    <x v="39"/>
    <n v="495000"/>
    <n v="133575"/>
    <s v="Cash"/>
    <s v="Su Su"/>
    <s v="Completed"/>
  </r>
  <r>
    <s v="ORD-00635"/>
    <x v="19"/>
    <s v="CUST-0233"/>
    <s v="Customer 233"/>
    <x v="0"/>
    <s v="Mayangone"/>
    <s v="Accessories"/>
    <x v="12"/>
    <x v="2"/>
    <n v="89700"/>
    <n v="0.05"/>
    <x v="40"/>
    <n v="312000"/>
    <n v="199290"/>
    <s v="KBZ Pay"/>
    <s v="Min Min"/>
    <s v="Completed"/>
  </r>
  <r>
    <s v="ORD-00714"/>
    <x v="19"/>
    <s v="CUST-0241"/>
    <s v="Customer 241"/>
    <x v="3"/>
    <s v="Pyay"/>
    <s v="Accessories"/>
    <x v="10"/>
    <x v="0"/>
    <n v="86400"/>
    <n v="0.05"/>
    <x v="41"/>
    <n v="290000"/>
    <n v="120400"/>
    <s v="Cash"/>
    <s v="Min Min"/>
    <s v="Completed"/>
  </r>
  <r>
    <s v="ORD-00663"/>
    <x v="19"/>
    <s v="CUST-0214"/>
    <s v="Customer 214"/>
    <x v="0"/>
    <s v="Mayangone"/>
    <s v="Electronics"/>
    <x v="0"/>
    <x v="6"/>
    <n v="427500"/>
    <n v="0"/>
    <x v="42"/>
    <n v="-1200000"/>
    <n v="-510000"/>
    <s v="Wave Money"/>
    <s v="Su Su"/>
    <s v="Returned"/>
  </r>
  <r>
    <s v="ORD-00828"/>
    <x v="19"/>
    <s v="CUST-0189"/>
    <s v="Customer 189"/>
    <x v="2"/>
    <s v="Mandalay"/>
    <s v="Electronics"/>
    <x v="0"/>
    <x v="4"/>
    <n v="417500"/>
    <n v="0.05"/>
    <x v="43"/>
    <n v="900000"/>
    <n v="289875"/>
    <s v="Credit Card"/>
    <s v="Su Su"/>
    <s v="Completed"/>
  </r>
  <r>
    <s v="ORD-00624"/>
    <x v="20"/>
    <s v="CUST-0103"/>
    <s v="Customer 103"/>
    <x v="1"/>
    <s v="Naypyidaw"/>
    <s v="Electronics"/>
    <x v="5"/>
    <x v="1"/>
    <n v="100900"/>
    <n v="0.08"/>
    <x v="44"/>
    <n v="110000"/>
    <n v="75656"/>
    <s v="Wave Money"/>
    <s v="Su Su"/>
    <s v="Completed"/>
  </r>
  <r>
    <s v="ORD-00995"/>
    <x v="21"/>
    <s v="CUST-0038"/>
    <s v="Customer 038"/>
    <x v="0"/>
    <s v="Mayangone"/>
    <s v="Furniture"/>
    <x v="9"/>
    <x v="1"/>
    <n v="186700"/>
    <n v="0"/>
    <x v="45"/>
    <n v="230000"/>
    <n v="143400"/>
    <s v="Bank Transfer"/>
    <s v="Nandar"/>
    <s v="Completed"/>
  </r>
  <r>
    <s v="ORD-00930"/>
    <x v="22"/>
    <s v="CUST-0130"/>
    <s v="Customer 130"/>
    <x v="2"/>
    <s v="Amarapura"/>
    <s v="Electronics"/>
    <x v="3"/>
    <x v="5"/>
    <n v="1187600"/>
    <n v="0.05"/>
    <x v="46"/>
    <n v="6650000"/>
    <n v="1247540"/>
    <s v="Credit Card"/>
    <s v="Min Min"/>
    <s v="Completed"/>
  </r>
  <r>
    <s v="ORD-00557"/>
    <x v="22"/>
    <s v="CUST-0091"/>
    <s v="Customer 091"/>
    <x v="0"/>
    <s v="Mayangone"/>
    <s v="Electronics"/>
    <x v="8"/>
    <x v="1"/>
    <n v="636400"/>
    <n v="0.08"/>
    <x v="47"/>
    <n v="940000"/>
    <n v="230976"/>
    <s v="Wave Money"/>
    <s v="Nandar"/>
    <s v="Completed"/>
  </r>
  <r>
    <s v="ORD-00611"/>
    <x v="22"/>
    <s v="CUST-0069"/>
    <s v="Customer 069"/>
    <x v="2"/>
    <s v="Chanmyathazi"/>
    <s v="Electronics"/>
    <x v="8"/>
    <x v="6"/>
    <n v="613000"/>
    <n v="0"/>
    <x v="48"/>
    <n v="1880000"/>
    <n v="572000"/>
    <s v="Cash"/>
    <s v="Nandar"/>
    <s v="Completed"/>
  </r>
  <r>
    <s v="ORD-00816"/>
    <x v="23"/>
    <s v="CUST-0237"/>
    <s v="Customer 237"/>
    <x v="1"/>
    <s v="Naypyidaw"/>
    <s v="Office Supplies"/>
    <x v="13"/>
    <x v="2"/>
    <n v="48500"/>
    <n v="0.08"/>
    <x v="49"/>
    <n v="156000"/>
    <n v="111720"/>
    <s v="KBZ Pay"/>
    <s v="Thiri"/>
    <s v="Completed"/>
  </r>
  <r>
    <s v="ORD-00447"/>
    <x v="23"/>
    <s v="CUST-0167"/>
    <s v="Customer 167"/>
    <x v="1"/>
    <s v="Naypyidaw"/>
    <s v="Office Supplies"/>
    <x v="1"/>
    <x v="0"/>
    <n v="28400"/>
    <n v="0.08"/>
    <x v="50"/>
    <n v="75000"/>
    <n v="55640"/>
    <s v="Cash"/>
    <s v="Htet Htet"/>
    <s v="Completed"/>
  </r>
  <r>
    <s v="ORD-00886"/>
    <x v="23"/>
    <s v="CUST-0173"/>
    <s v="Customer 173"/>
    <x v="2"/>
    <s v="Mandalay"/>
    <s v="Office Supplies"/>
    <x v="13"/>
    <x v="4"/>
    <n v="41600"/>
    <n v="0"/>
    <x v="51"/>
    <n v="78000"/>
    <n v="46800"/>
    <s v="KBZ Pay"/>
    <s v="Nandar"/>
    <s v="Completed"/>
  </r>
  <r>
    <s v="ORD-00617"/>
    <x v="23"/>
    <s v="CUST-0177"/>
    <s v="Customer 177"/>
    <x v="1"/>
    <s v="Zabuthiri"/>
    <s v="Electronics"/>
    <x v="8"/>
    <x v="1"/>
    <n v="600900"/>
    <n v="0.02"/>
    <x v="52"/>
    <n v="940000"/>
    <n v="237764"/>
    <s v="Cash"/>
    <s v="Htet Htet"/>
    <s v="Completed"/>
  </r>
  <r>
    <s v="ORD-00467"/>
    <x v="23"/>
    <s v="CUST-0084"/>
    <s v="Customer 084"/>
    <x v="0"/>
    <s v="Hlaing"/>
    <s v="Office Supplies"/>
    <x v="13"/>
    <x v="0"/>
    <n v="48300"/>
    <n v="0.1"/>
    <x v="53"/>
    <n v="130000"/>
    <n v="87350"/>
    <s v="KBZ Pay"/>
    <s v="May Zin"/>
    <s v="Completed"/>
  </r>
  <r>
    <s v="ORD-00764"/>
    <x v="24"/>
    <s v="CUST-0131"/>
    <s v="Customer 131"/>
    <x v="0"/>
    <s v="Mayangone"/>
    <s v="Electronics"/>
    <x v="0"/>
    <x v="3"/>
    <n v="399700"/>
    <n v="0.15"/>
    <x v="54"/>
    <n v="300000"/>
    <n v="39745"/>
    <s v="KBZ Pay"/>
    <s v="Min Min"/>
    <s v="Completed"/>
  </r>
  <r>
    <s v="ORD-00429"/>
    <x v="24"/>
    <s v="CUST-0073"/>
    <s v="Customer 073"/>
    <x v="0"/>
    <s v="Tamwe"/>
    <s v="Furniture"/>
    <x v="2"/>
    <x v="2"/>
    <n v="559600"/>
    <n v="0.02"/>
    <x v="55"/>
    <n v="2190000"/>
    <n v="1100448"/>
    <s v="Credit Card"/>
    <s v="May Zin"/>
    <s v="Completed"/>
  </r>
  <r>
    <s v="ORD-00436"/>
    <x v="24"/>
    <s v="CUST-0118"/>
    <s v="Customer 118"/>
    <x v="0"/>
    <s v="Mayangone"/>
    <s v="Furniture"/>
    <x v="6"/>
    <x v="1"/>
    <n v="319500"/>
    <n v="0.02"/>
    <x v="56"/>
    <n v="420000"/>
    <n v="206220"/>
    <s v="Cash"/>
    <s v="Su Su"/>
    <s v="Completed"/>
  </r>
  <r>
    <s v="ORD-00125"/>
    <x v="25"/>
    <s v="CUST-0221"/>
    <s v="Customer 221"/>
    <x v="3"/>
    <s v="Taungoo"/>
    <s v="Furniture"/>
    <x v="6"/>
    <x v="2"/>
    <n v="330300"/>
    <n v="0"/>
    <x v="57"/>
    <n v="1260000"/>
    <n v="721800"/>
    <s v="Bank Transfer"/>
    <s v="Htet Htet"/>
    <s v="Completed"/>
  </r>
  <r>
    <s v="ORD-00861"/>
    <x v="26"/>
    <s v="CUST-0001"/>
    <s v="Customer 001"/>
    <x v="2"/>
    <s v="Chanmyathazi"/>
    <s v="Office Supplies"/>
    <x v="1"/>
    <x v="3"/>
    <n v="28900"/>
    <n v="0.1"/>
    <x v="58"/>
    <n v="15000"/>
    <n v="11010"/>
    <s v="Credit Card"/>
    <s v="Min Min"/>
    <s v="Completed"/>
  </r>
  <r>
    <s v="ORD-00947"/>
    <x v="27"/>
    <s v="CUST-0174"/>
    <s v="Customer 174"/>
    <x v="2"/>
    <s v="Mandalay"/>
    <s v="Electronics"/>
    <x v="3"/>
    <x v="6"/>
    <n v="1238200"/>
    <n v="0.15"/>
    <x v="59"/>
    <n v="3800000"/>
    <n v="409880"/>
    <s v="Credit Card"/>
    <s v="Aung Aung"/>
    <s v="Completed"/>
  </r>
  <r>
    <s v="ORD-00122"/>
    <x v="27"/>
    <s v="CUST-0186"/>
    <s v="Customer 186"/>
    <x v="0"/>
    <s v="Yangon"/>
    <s v="Accessories"/>
    <x v="7"/>
    <x v="3"/>
    <n v="29800"/>
    <n v="0.1"/>
    <x v="60"/>
    <n v="18000"/>
    <n v="8820"/>
    <s v="Wave Money"/>
    <s v="Min Min"/>
    <s v="Completed"/>
  </r>
  <r>
    <s v="ORD-00654"/>
    <x v="27"/>
    <s v="CUST-0235"/>
    <s v="Customer 235"/>
    <x v="1"/>
    <s v="Pyinmana"/>
    <s v="Accessories"/>
    <x v="10"/>
    <x v="2"/>
    <n v="92500"/>
    <n v="0"/>
    <x v="61"/>
    <n v="348000"/>
    <n v="207000"/>
    <s v="Wave Money"/>
    <s v="May Zin"/>
    <s v="Completed"/>
  </r>
  <r>
    <s v="ORD-00803"/>
    <x v="28"/>
    <s v="CUST-0087"/>
    <s v="Customer 087"/>
    <x v="0"/>
    <s v="Hlaing"/>
    <s v="Office Supplies"/>
    <x v="11"/>
    <x v="6"/>
    <n v="229400"/>
    <n v="0.05"/>
    <x v="8"/>
    <n v="0"/>
    <n v="0"/>
    <s v="KBZ Pay"/>
    <s v="Su Su"/>
    <s v="Cancelled"/>
  </r>
  <r>
    <s v="ORD-00121"/>
    <x v="29"/>
    <s v="CUST-0146"/>
    <s v="Customer 146"/>
    <x v="4"/>
    <s v="Muse"/>
    <s v="Electronics"/>
    <x v="5"/>
    <x v="6"/>
    <n v="93100"/>
    <n v="0.02"/>
    <x v="62"/>
    <n v="220000"/>
    <n v="144952"/>
    <s v="KBZ Pay"/>
    <s v="Kyaw Kyaw"/>
    <s v="Completed"/>
  </r>
  <r>
    <s v="ORD-00892"/>
    <x v="29"/>
    <s v="CUST-0072"/>
    <s v="Customer 072"/>
    <x v="2"/>
    <s v="Amarapura"/>
    <s v="Electronics"/>
    <x v="3"/>
    <x v="2"/>
    <n v="1175300"/>
    <n v="0.05"/>
    <x v="63"/>
    <n v="5700000"/>
    <n v="999210"/>
    <s v="Credit Card"/>
    <s v="Nandar"/>
    <s v="Completed"/>
  </r>
  <r>
    <s v="ORD-00106"/>
    <x v="30"/>
    <s v="CUST-0101"/>
    <s v="Customer 101"/>
    <x v="2"/>
    <s v="Chanmyathazi"/>
    <s v="Furniture"/>
    <x v="6"/>
    <x v="6"/>
    <n v="319700"/>
    <n v="0.02"/>
    <x v="64"/>
    <n v="840000"/>
    <n v="413224"/>
    <s v="Wave Money"/>
    <s v="Htet Htet"/>
    <s v="Completed"/>
  </r>
  <r>
    <s v="ORD-00965"/>
    <x v="30"/>
    <s v="CUST-0154"/>
    <s v="Customer 154"/>
    <x v="3"/>
    <s v="Taungoo"/>
    <s v="Office Supplies"/>
    <x v="13"/>
    <x v="2"/>
    <n v="48600"/>
    <n v="0.05"/>
    <x v="65"/>
    <n v="156000"/>
    <n v="121020"/>
    <s v="KBZ Pay"/>
    <s v="Kyaw Kyaw"/>
    <s v="Completed"/>
  </r>
  <r>
    <s v="ORD-00484"/>
    <x v="30"/>
    <s v="CUST-0122"/>
    <s v="Customer 122"/>
    <x v="0"/>
    <s v="Hlaing"/>
    <s v="Electronics"/>
    <x v="5"/>
    <x v="5"/>
    <n v="93200"/>
    <n v="0.05"/>
    <x v="66"/>
    <n v="385000"/>
    <n v="234780"/>
    <s v="Bank Transfer"/>
    <s v="Kyaw Kyaw"/>
    <s v="Completed"/>
  </r>
  <r>
    <s v="ORD-00163"/>
    <x v="31"/>
    <s v="CUST-0124"/>
    <s v="Customer 124"/>
    <x v="3"/>
    <s v="Taungoo"/>
    <s v="Furniture"/>
    <x v="2"/>
    <x v="4"/>
    <n v="479900"/>
    <n v="0"/>
    <x v="67"/>
    <n v="1095000"/>
    <n v="344700"/>
    <s v="Bank Transfer"/>
    <s v="May Zin"/>
    <s v="Completed"/>
  </r>
  <r>
    <s v="ORD-00319"/>
    <x v="31"/>
    <s v="CUST-0134"/>
    <s v="Customer 134"/>
    <x v="3"/>
    <s v="Taungoo"/>
    <s v="Furniture"/>
    <x v="9"/>
    <x v="1"/>
    <n v="178200"/>
    <n v="0.02"/>
    <x v="68"/>
    <n v="230000"/>
    <n v="119272"/>
    <s v="Wave Money"/>
    <s v="Aung Aung"/>
    <s v="Completed"/>
  </r>
  <r>
    <s v="ORD-00220"/>
    <x v="31"/>
    <s v="CUST-0002"/>
    <s v="Customer 002"/>
    <x v="0"/>
    <s v="Hlaing"/>
    <s v="Office Supplies"/>
    <x v="13"/>
    <x v="2"/>
    <n v="43000"/>
    <n v="0.1"/>
    <x v="69"/>
    <n v="156000"/>
    <n v="76200"/>
    <s v="Bank Transfer"/>
    <s v="Kyaw Kyaw"/>
    <s v="Completed"/>
  </r>
  <r>
    <s v="ORD-00744"/>
    <x v="31"/>
    <s v="CUST-0049"/>
    <s v="Customer 049"/>
    <x v="2"/>
    <s v="Chanmyathazi"/>
    <s v="Office Supplies"/>
    <x v="11"/>
    <x v="2"/>
    <n v="241600"/>
    <n v="0.08"/>
    <x v="70"/>
    <n v="990000"/>
    <n v="343632"/>
    <s v="Wave Money"/>
    <s v="Min Min"/>
    <s v="Completed"/>
  </r>
  <r>
    <s v="ORD-00040"/>
    <x v="31"/>
    <s v="CUST-0008"/>
    <s v="Customer 008"/>
    <x v="0"/>
    <s v="Yangon"/>
    <s v="Electronics"/>
    <x v="8"/>
    <x v="1"/>
    <n v="602100"/>
    <n v="0.05"/>
    <x v="71"/>
    <n v="940000"/>
    <n v="203990"/>
    <s v="KBZ Pay"/>
    <s v="Thiri"/>
    <s v="Completed"/>
  </r>
  <r>
    <s v="ORD-00449"/>
    <x v="31"/>
    <s v="CUST-0184"/>
    <s v="Customer 184"/>
    <x v="0"/>
    <s v="Mayangone"/>
    <s v="Office Supplies"/>
    <x v="13"/>
    <x v="4"/>
    <n v="44800"/>
    <n v="0.05"/>
    <x v="72"/>
    <n v="78000"/>
    <n v="49680"/>
    <s v="Credit Card"/>
    <s v="Min Min"/>
    <s v="Completed"/>
  </r>
  <r>
    <s v="ORD-00184"/>
    <x v="31"/>
    <s v="CUST-0178"/>
    <s v="Customer 178"/>
    <x v="2"/>
    <s v="Chanmyathazi"/>
    <s v="Electronics"/>
    <x v="0"/>
    <x v="0"/>
    <n v="438900"/>
    <n v="0.05"/>
    <x v="73"/>
    <n v="1500000"/>
    <n v="584775"/>
    <s v="Wave Money"/>
    <s v="Thiri"/>
    <s v="Completed"/>
  </r>
  <r>
    <s v="ORD-00730"/>
    <x v="31"/>
    <s v="CUST-0072"/>
    <s v="Customer 072"/>
    <x v="3"/>
    <s v="Taungoo"/>
    <s v="Electronics"/>
    <x v="8"/>
    <x v="2"/>
    <n v="618500"/>
    <n v="0"/>
    <x v="74"/>
    <n v="2820000"/>
    <n v="891000"/>
    <s v="Bank Transfer"/>
    <s v="Nandar"/>
    <s v="Completed"/>
  </r>
  <r>
    <s v="ORD-00712"/>
    <x v="31"/>
    <s v="CUST-0148"/>
    <s v="Customer 148"/>
    <x v="0"/>
    <s v="Hlaing"/>
    <s v="Electronics"/>
    <x v="3"/>
    <x v="4"/>
    <n v="1261900"/>
    <n v="0.02"/>
    <x v="75"/>
    <n v="2850000"/>
    <n v="859986"/>
    <s v="Bank Transfer"/>
    <s v="Thiri"/>
    <s v="Completed"/>
  </r>
  <r>
    <s v="ORD-00461"/>
    <x v="32"/>
    <s v="CUST-0229"/>
    <s v="Customer 229"/>
    <x v="0"/>
    <s v="Hlaing"/>
    <s v="Office Supplies"/>
    <x v="13"/>
    <x v="5"/>
    <n v="48600"/>
    <n v="0"/>
    <x v="76"/>
    <n v="-182000"/>
    <n v="-158200"/>
    <s v="KBZ Pay"/>
    <s v="Htet Htet"/>
    <s v="Returned"/>
  </r>
  <r>
    <s v="ORD-00948"/>
    <x v="33"/>
    <s v="CUST-0163"/>
    <s v="Customer 163"/>
    <x v="2"/>
    <s v="Amarapura"/>
    <s v="Furniture"/>
    <x v="6"/>
    <x v="5"/>
    <n v="295200"/>
    <n v="0.05"/>
    <x v="77"/>
    <n v="1470000"/>
    <n v="493080"/>
    <s v="KBZ Pay"/>
    <s v="May Zin"/>
    <s v="Completed"/>
  </r>
  <r>
    <s v="ORD-00138"/>
    <x v="33"/>
    <s v="CUST-0002"/>
    <s v="Customer 002"/>
    <x v="0"/>
    <s v="Mayangone"/>
    <s v="Office Supplies"/>
    <x v="11"/>
    <x v="6"/>
    <n v="234100"/>
    <n v="0.08"/>
    <x v="78"/>
    <n v="-660000"/>
    <n v="-201488"/>
    <s v="Cash"/>
    <s v="Aung Aung"/>
    <s v="Returned"/>
  </r>
  <r>
    <s v="ORD-00774"/>
    <x v="33"/>
    <s v="CUST-0249"/>
    <s v="Customer 249"/>
    <x v="0"/>
    <s v="Tamwe"/>
    <s v="Electronics"/>
    <x v="3"/>
    <x v="5"/>
    <n v="1159200"/>
    <n v="0.05"/>
    <x v="79"/>
    <n v="6650000"/>
    <n v="1058680"/>
    <s v="Credit Card"/>
    <s v="Min Min"/>
    <s v="Completed"/>
  </r>
  <r>
    <s v="ORD-00421"/>
    <x v="34"/>
    <s v="CUST-0249"/>
    <s v="Customer 249"/>
    <x v="2"/>
    <s v="Chanmyathazi"/>
    <s v="Office Supplies"/>
    <x v="11"/>
    <x v="1"/>
    <n v="227400"/>
    <n v="0.05"/>
    <x v="80"/>
    <n v="330000"/>
    <n v="102060"/>
    <s v="KBZ Pay"/>
    <s v="Kyaw Kyaw"/>
    <s v="Completed"/>
  </r>
  <r>
    <s v="ORD-00485"/>
    <x v="35"/>
    <s v="CUST-0223"/>
    <s v="Customer 223"/>
    <x v="0"/>
    <s v="Tamwe"/>
    <s v="Electronics"/>
    <x v="8"/>
    <x v="3"/>
    <n v="620300"/>
    <n v="0.02"/>
    <x v="81"/>
    <n v="470000"/>
    <n v="137894"/>
    <s v="Cash"/>
    <s v="May Zin"/>
    <s v="Completed"/>
  </r>
  <r>
    <s v="ORD-00590"/>
    <x v="36"/>
    <s v="CUST-0223"/>
    <s v="Customer 223"/>
    <x v="1"/>
    <s v="Zabuthiri"/>
    <s v="Furniture"/>
    <x v="6"/>
    <x v="5"/>
    <n v="326100"/>
    <n v="0"/>
    <x v="82"/>
    <n v="-1470000"/>
    <n v="-812700"/>
    <s v="Wave Money"/>
    <s v="Nandar"/>
    <s v="Returned"/>
  </r>
  <r>
    <s v="ORD-00353"/>
    <x v="36"/>
    <s v="CUST-0083"/>
    <s v="Customer 083"/>
    <x v="0"/>
    <s v="Hlaing"/>
    <s v="Office Supplies"/>
    <x v="13"/>
    <x v="5"/>
    <n v="43100"/>
    <n v="0.15"/>
    <x v="83"/>
    <n v="182000"/>
    <n v="74445"/>
    <s v="Wave Money"/>
    <s v="Min Min"/>
    <s v="Completed"/>
  </r>
  <r>
    <s v="ORD-00499"/>
    <x v="37"/>
    <s v="CUST-0190"/>
    <s v="Customer 190"/>
    <x v="0"/>
    <s v="Hlaing"/>
    <s v="Electronics"/>
    <x v="8"/>
    <x v="4"/>
    <n v="668600"/>
    <n v="0.05"/>
    <x v="84"/>
    <n v="1410000"/>
    <n v="495510"/>
    <s v="Wave Money"/>
    <s v="May Zin"/>
    <s v="Completed"/>
  </r>
  <r>
    <s v="ORD-00752"/>
    <x v="38"/>
    <s v="CUST-0010"/>
    <s v="Customer 010"/>
    <x v="3"/>
    <s v="Pyay"/>
    <s v="Office Supplies"/>
    <x v="1"/>
    <x v="6"/>
    <n v="30200"/>
    <n v="0.02"/>
    <x v="85"/>
    <n v="60000"/>
    <n v="58384"/>
    <s v="Cash"/>
    <s v="Htet Htet"/>
    <s v="Completed"/>
  </r>
  <r>
    <s v="ORD-00164"/>
    <x v="38"/>
    <s v="CUST-0157"/>
    <s v="Customer 157"/>
    <x v="0"/>
    <s v="Yangon"/>
    <s v="Office Supplies"/>
    <x v="1"/>
    <x v="1"/>
    <n v="26500"/>
    <n v="0.05"/>
    <x v="86"/>
    <n v="30000"/>
    <n v="20350"/>
    <s v="Wave Money"/>
    <s v="May Zin"/>
    <s v="Completed"/>
  </r>
  <r>
    <s v="ORD-00848"/>
    <x v="38"/>
    <s v="CUST-0215"/>
    <s v="Customer 215"/>
    <x v="0"/>
    <s v="Tamwe"/>
    <s v="Accessories"/>
    <x v="14"/>
    <x v="0"/>
    <n v="78300"/>
    <n v="0"/>
    <x v="87"/>
    <n v="215000"/>
    <n v="176500"/>
    <s v="Bank Transfer"/>
    <s v="Thiri"/>
    <s v="Completed"/>
  </r>
  <r>
    <s v="ORD-00915"/>
    <x v="39"/>
    <s v="CUST-0236"/>
    <s v="Customer 236"/>
    <x v="3"/>
    <s v="Pyay"/>
    <s v="Office Supplies"/>
    <x v="11"/>
    <x v="5"/>
    <n v="257600"/>
    <n v="0.02"/>
    <x v="88"/>
    <n v="1155000"/>
    <n v="612136"/>
    <s v="KBZ Pay"/>
    <s v="Nandar"/>
    <s v="Completed"/>
  </r>
  <r>
    <s v="ORD-00060"/>
    <x v="40"/>
    <s v="CUST-0142"/>
    <s v="Customer 142"/>
    <x v="4"/>
    <s v="Lashio"/>
    <s v="Accessories"/>
    <x v="7"/>
    <x v="3"/>
    <n v="30100"/>
    <n v="0"/>
    <x v="89"/>
    <n v="18000"/>
    <n v="12100"/>
    <s v="Bank Transfer"/>
    <s v="Su Su"/>
    <s v="Completed"/>
  </r>
  <r>
    <s v="ORD-00454"/>
    <x v="40"/>
    <s v="CUST-0093"/>
    <s v="Customer 093"/>
    <x v="2"/>
    <s v="Mandalay"/>
    <s v="Office Supplies"/>
    <x v="13"/>
    <x v="4"/>
    <n v="46100"/>
    <n v="0.15"/>
    <x v="90"/>
    <n v="78000"/>
    <n v="39555"/>
    <s v="Credit Card"/>
    <s v="Thiri"/>
    <s v="Completed"/>
  </r>
  <r>
    <s v="ORD-00332"/>
    <x v="40"/>
    <s v="CUST-0155"/>
    <s v="Customer 155"/>
    <x v="0"/>
    <s v="Mayangone"/>
    <s v="Furniture"/>
    <x v="2"/>
    <x v="3"/>
    <n v="514500"/>
    <n v="0.02"/>
    <x v="91"/>
    <n v="365000"/>
    <n v="139210"/>
    <s v="Cash"/>
    <s v="Su Su"/>
    <s v="Completed"/>
  </r>
  <r>
    <s v="ORD-00690"/>
    <x v="40"/>
    <s v="CUST-0189"/>
    <s v="Customer 189"/>
    <x v="2"/>
    <s v="Amarapura"/>
    <s v="Accessories"/>
    <x v="7"/>
    <x v="2"/>
    <n v="31100"/>
    <n v="0.1"/>
    <x v="92"/>
    <n v="108000"/>
    <n v="59940"/>
    <s v="Cash"/>
    <s v="Min Min"/>
    <s v="Completed"/>
  </r>
  <r>
    <s v="ORD-00104"/>
    <x v="41"/>
    <s v="CUST-0235"/>
    <s v="Customer 235"/>
    <x v="1"/>
    <s v="Zabuthiri"/>
    <s v="Electronics"/>
    <x v="5"/>
    <x v="3"/>
    <n v="91500"/>
    <n v="0.05"/>
    <x v="93"/>
    <n v="55000"/>
    <n v="31925"/>
    <s v="Credit Card"/>
    <s v="Aung Aung"/>
    <s v="Completed"/>
  </r>
  <r>
    <s v="ORD-00185"/>
    <x v="42"/>
    <s v="CUST-0097"/>
    <s v="Customer 097"/>
    <x v="0"/>
    <s v="Tamwe"/>
    <s v="Electronics"/>
    <x v="0"/>
    <x v="0"/>
    <n v="394600"/>
    <n v="0.02"/>
    <x v="94"/>
    <n v="1500000"/>
    <n v="433540"/>
    <s v="Credit Card"/>
    <s v="Htet Htet"/>
    <s v="Completed"/>
  </r>
  <r>
    <s v="ORD-00543"/>
    <x v="43"/>
    <s v="CUST-0229"/>
    <s v="Customer 229"/>
    <x v="0"/>
    <s v="Hlaing"/>
    <s v="Office Supplies"/>
    <x v="1"/>
    <x v="5"/>
    <n v="27700"/>
    <n v="0.1"/>
    <x v="95"/>
    <n v="105000"/>
    <n v="69510"/>
    <s v="Cash"/>
    <s v="Su Su"/>
    <s v="Completed"/>
  </r>
  <r>
    <s v="ORD-00668"/>
    <x v="44"/>
    <s v="CUST-0039"/>
    <s v="Customer 039"/>
    <x v="2"/>
    <s v="Chanmyathazi"/>
    <s v="Office Supplies"/>
    <x v="11"/>
    <x v="0"/>
    <n v="251400"/>
    <n v="0.08"/>
    <x v="96"/>
    <n v="825000"/>
    <n v="331440"/>
    <s v="Wave Money"/>
    <s v="May Zin"/>
    <s v="Completed"/>
  </r>
  <r>
    <s v="ORD-00481"/>
    <x v="44"/>
    <s v="CUST-0247"/>
    <s v="Customer 247"/>
    <x v="0"/>
    <s v="Hlaing"/>
    <s v="Accessories"/>
    <x v="7"/>
    <x v="2"/>
    <n v="29900"/>
    <n v="0.02"/>
    <x v="97"/>
    <n v="108000"/>
    <n v="67812"/>
    <s v="Wave Money"/>
    <s v="Thiri"/>
    <s v="Completed"/>
  </r>
  <r>
    <s v="ORD-00506"/>
    <x v="45"/>
    <s v="CUST-0216"/>
    <s v="Customer 216"/>
    <x v="1"/>
    <s v="Zabuthiri"/>
    <s v="Electronics"/>
    <x v="5"/>
    <x v="6"/>
    <n v="102500"/>
    <n v="0.02"/>
    <x v="98"/>
    <n v="220000"/>
    <n v="181800"/>
    <s v="KBZ Pay"/>
    <s v="Nandar"/>
    <s v="Completed"/>
  </r>
  <r>
    <s v="ORD-00378"/>
    <x v="46"/>
    <s v="CUST-0031"/>
    <s v="Customer 031"/>
    <x v="3"/>
    <s v="Bago"/>
    <s v="Office Supplies"/>
    <x v="4"/>
    <x v="6"/>
    <n v="362400"/>
    <n v="0.08"/>
    <x v="70"/>
    <n v="1120000"/>
    <n v="213632"/>
    <s v="KBZ Pay"/>
    <s v="May Zin"/>
    <s v="Completed"/>
  </r>
  <r>
    <s v="ORD-00646"/>
    <x v="46"/>
    <s v="CUST-0021"/>
    <s v="Customer 021"/>
    <x v="0"/>
    <s v="Tamwe"/>
    <s v="Electronics"/>
    <x v="8"/>
    <x v="0"/>
    <n v="676900"/>
    <n v="0"/>
    <x v="99"/>
    <n v="2350000"/>
    <n v="1034500"/>
    <s v="Cash"/>
    <s v="Aung Aung"/>
    <s v="Completed"/>
  </r>
  <r>
    <s v="ORD-00933"/>
    <x v="46"/>
    <s v="CUST-0036"/>
    <s v="Customer 036"/>
    <x v="1"/>
    <s v="Naypyidaw"/>
    <s v="Furniture"/>
    <x v="2"/>
    <x v="5"/>
    <n v="522100"/>
    <n v="0.08"/>
    <x v="100"/>
    <n v="-2555000"/>
    <n v="-807324"/>
    <s v="Cash"/>
    <s v="Aung Aung"/>
    <s v="Returned"/>
  </r>
  <r>
    <s v="ORD-00065"/>
    <x v="47"/>
    <s v="CUST-0233"/>
    <s v="Customer 233"/>
    <x v="0"/>
    <s v="Tamwe"/>
    <s v="Furniture"/>
    <x v="9"/>
    <x v="6"/>
    <n v="175600"/>
    <n v="0"/>
    <x v="101"/>
    <n v="460000"/>
    <n v="242400"/>
    <s v="Bank Transfer"/>
    <s v="Htet Htet"/>
    <s v="Completed"/>
  </r>
  <r>
    <s v="ORD-00859"/>
    <x v="47"/>
    <s v="CUST-0082"/>
    <s v="Customer 082"/>
    <x v="3"/>
    <s v="Pyay"/>
    <s v="Furniture"/>
    <x v="9"/>
    <x v="4"/>
    <n v="172700"/>
    <n v="0"/>
    <x v="102"/>
    <n v="345000"/>
    <n v="173100"/>
    <s v="Wave Money"/>
    <s v="Nandar"/>
    <s v="Completed"/>
  </r>
  <r>
    <s v="ORD-00116"/>
    <x v="47"/>
    <s v="CUST-0199"/>
    <s v="Customer 199"/>
    <x v="0"/>
    <s v="Mayangone"/>
    <s v="Office Supplies"/>
    <x v="11"/>
    <x v="5"/>
    <n v="257100"/>
    <n v="0.05"/>
    <x v="103"/>
    <n v="1155000"/>
    <n v="554715"/>
    <s v="Cash"/>
    <s v="Htet Htet"/>
    <s v="Completed"/>
  </r>
  <r>
    <s v="ORD-00870"/>
    <x v="47"/>
    <s v="CUST-0187"/>
    <s v="Customer 187"/>
    <x v="0"/>
    <s v="Hlaing"/>
    <s v="Furniture"/>
    <x v="9"/>
    <x v="2"/>
    <n v="193600"/>
    <n v="0.02"/>
    <x v="104"/>
    <n v="690000"/>
    <n v="448368"/>
    <s v="Bank Transfer"/>
    <s v="Htet Htet"/>
    <s v="Completed"/>
  </r>
  <r>
    <s v="ORD-00355"/>
    <x v="48"/>
    <s v="CUST-0250"/>
    <s v="Customer 250"/>
    <x v="3"/>
    <s v="Bago"/>
    <s v="Electronics"/>
    <x v="5"/>
    <x v="1"/>
    <n v="99100"/>
    <n v="0.05"/>
    <x v="105"/>
    <n v="110000"/>
    <n v="78290"/>
    <s v="Cash"/>
    <s v="Su Su"/>
    <s v="Completed"/>
  </r>
  <r>
    <s v="ORD-00804"/>
    <x v="48"/>
    <s v="CUST-0016"/>
    <s v="Customer 016"/>
    <x v="0"/>
    <s v="Hlaing"/>
    <s v="Electronics"/>
    <x v="8"/>
    <x v="3"/>
    <n v="603900"/>
    <n v="0.02"/>
    <x v="106"/>
    <n v="470000"/>
    <n v="121822"/>
    <s v="Wave Money"/>
    <s v="Nandar"/>
    <s v="Completed"/>
  </r>
  <r>
    <s v="ORD-00376"/>
    <x v="49"/>
    <s v="CUST-0050"/>
    <s v="Customer 050"/>
    <x v="4"/>
    <s v="Taunggyi"/>
    <s v="Electronics"/>
    <x v="0"/>
    <x v="1"/>
    <n v="391200"/>
    <n v="0"/>
    <x v="107"/>
    <n v="600000"/>
    <n v="182400"/>
    <s v="Credit Card"/>
    <s v="Kyaw Kyaw"/>
    <s v="Completed"/>
  </r>
  <r>
    <s v="ORD-00510"/>
    <x v="50"/>
    <s v="CUST-0062"/>
    <s v="Customer 062"/>
    <x v="4"/>
    <s v="Taunggyi"/>
    <s v="Electronics"/>
    <x v="0"/>
    <x v="5"/>
    <n v="399000"/>
    <n v="0.05"/>
    <x v="108"/>
    <n v="2100000"/>
    <n v="553350"/>
    <s v="Wave Money"/>
    <s v="Kyaw Kyaw"/>
    <s v="Completed"/>
  </r>
  <r>
    <s v="ORD-00514"/>
    <x v="50"/>
    <s v="CUST-0046"/>
    <s v="Customer 046"/>
    <x v="3"/>
    <s v="Pyay"/>
    <s v="Electronics"/>
    <x v="0"/>
    <x v="5"/>
    <n v="452300"/>
    <n v="0.05"/>
    <x v="109"/>
    <n v="2100000"/>
    <n v="907795"/>
    <s v="KBZ Pay"/>
    <s v="Thiri"/>
    <s v="Completed"/>
  </r>
  <r>
    <s v="ORD-00588"/>
    <x v="51"/>
    <s v="CUST-0045"/>
    <s v="Customer 045"/>
    <x v="4"/>
    <s v="Muse"/>
    <s v="Office Supplies"/>
    <x v="4"/>
    <x v="1"/>
    <n v="365300"/>
    <n v="0.05"/>
    <x v="110"/>
    <n v="560000"/>
    <n v="134070"/>
    <s v="Cash"/>
    <s v="Min Min"/>
    <s v="Completed"/>
  </r>
  <r>
    <s v="ORD-00651"/>
    <x v="51"/>
    <s v="CUST-0226"/>
    <s v="Customer 226"/>
    <x v="0"/>
    <s v="Yangon"/>
    <s v="Electronics"/>
    <x v="0"/>
    <x v="6"/>
    <n v="438500"/>
    <n v="0.02"/>
    <x v="111"/>
    <n v="1200000"/>
    <n v="518920"/>
    <s v="Bank Transfer"/>
    <s v="May Zin"/>
    <s v="Completed"/>
  </r>
  <r>
    <s v="ORD-00273"/>
    <x v="51"/>
    <s v="CUST-0034"/>
    <s v="Customer 034"/>
    <x v="0"/>
    <s v="Tamwe"/>
    <s v="Furniture"/>
    <x v="9"/>
    <x v="6"/>
    <n v="169800"/>
    <n v="0.08"/>
    <x v="112"/>
    <n v="460000"/>
    <n v="164864"/>
    <s v="Credit Card"/>
    <s v="May Zin"/>
    <s v="Completed"/>
  </r>
  <r>
    <s v="ORD-00323"/>
    <x v="52"/>
    <s v="CUST-0033"/>
    <s v="Customer 033"/>
    <x v="0"/>
    <s v="Tamwe"/>
    <s v="Office Supplies"/>
    <x v="13"/>
    <x v="3"/>
    <n v="46300"/>
    <n v="0.02"/>
    <x v="113"/>
    <n v="26000"/>
    <n v="19374"/>
    <s v="Credit Card"/>
    <s v="Thiri"/>
    <s v="Completed"/>
  </r>
  <r>
    <s v="ORD-00403"/>
    <x v="53"/>
    <s v="CUST-0040"/>
    <s v="Customer 040"/>
    <x v="4"/>
    <s v="Muse"/>
    <s v="Electronics"/>
    <x v="0"/>
    <x v="1"/>
    <n v="393500"/>
    <n v="0.1"/>
    <x v="114"/>
    <n v="600000"/>
    <n v="108300"/>
    <s v="Wave Money"/>
    <s v="Su Su"/>
    <s v="Completed"/>
  </r>
  <r>
    <s v="ORD-00830"/>
    <x v="53"/>
    <s v="CUST-0032"/>
    <s v="Customer 032"/>
    <x v="2"/>
    <s v="Chanmyathazi"/>
    <s v="Electronics"/>
    <x v="3"/>
    <x v="5"/>
    <n v="1337200"/>
    <n v="0.1"/>
    <x v="8"/>
    <n v="0"/>
    <n v="0"/>
    <s v="KBZ Pay"/>
    <s v="Kyaw Kyaw"/>
    <s v="Cancelled"/>
  </r>
  <r>
    <s v="ORD-00567"/>
    <x v="54"/>
    <s v="CUST-0005"/>
    <s v="Customer 005"/>
    <x v="0"/>
    <s v="Yangon"/>
    <s v="Accessories"/>
    <x v="10"/>
    <x v="2"/>
    <n v="90100"/>
    <n v="0.05"/>
    <x v="115"/>
    <n v="348000"/>
    <n v="165570"/>
    <s v="Credit Card"/>
    <s v="Nandar"/>
    <s v="Completed"/>
  </r>
  <r>
    <s v="ORD-00935"/>
    <x v="54"/>
    <s v="CUST-0061"/>
    <s v="Customer 061"/>
    <x v="2"/>
    <s v="Amarapura"/>
    <s v="Electronics"/>
    <x v="5"/>
    <x v="0"/>
    <n v="96400"/>
    <n v="0.05"/>
    <x v="116"/>
    <n v="275000"/>
    <n v="182900"/>
    <s v="KBZ Pay"/>
    <s v="Min Min"/>
    <s v="Completed"/>
  </r>
  <r>
    <s v="ORD-00508"/>
    <x v="54"/>
    <s v="CUST-0107"/>
    <s v="Customer 107"/>
    <x v="2"/>
    <s v="Amarapura"/>
    <s v="Office Supplies"/>
    <x v="13"/>
    <x v="2"/>
    <n v="47000"/>
    <n v="0.1"/>
    <x v="117"/>
    <n v="156000"/>
    <n v="97800"/>
    <s v="KBZ Pay"/>
    <s v="Thiri"/>
    <s v="Completed"/>
  </r>
  <r>
    <s v="ORD-00554"/>
    <x v="54"/>
    <s v="CUST-0182"/>
    <s v="Customer 182"/>
    <x v="1"/>
    <s v="Naypyidaw"/>
    <s v="Accessories"/>
    <x v="12"/>
    <x v="4"/>
    <n v="89100"/>
    <n v="0.08"/>
    <x v="118"/>
    <n v="156000"/>
    <n v="89916"/>
    <s v="Wave Money"/>
    <s v="Min Min"/>
    <s v="Completed"/>
  </r>
  <r>
    <s v="ORD-00628"/>
    <x v="55"/>
    <s v="CUST-0023"/>
    <s v="Customer 023"/>
    <x v="0"/>
    <s v="Mayangone"/>
    <s v="Electronics"/>
    <x v="3"/>
    <x v="1"/>
    <n v="1269500"/>
    <n v="0.08"/>
    <x v="119"/>
    <n v="1900000"/>
    <n v="435880"/>
    <s v="Wave Money"/>
    <s v="Aung Aung"/>
    <s v="Completed"/>
  </r>
  <r>
    <s v="ORD-00614"/>
    <x v="56"/>
    <s v="CUST-0239"/>
    <s v="Customer 239"/>
    <x v="2"/>
    <s v="Mandalay"/>
    <s v="Electronics"/>
    <x v="5"/>
    <x v="2"/>
    <n v="94500"/>
    <n v="0.08"/>
    <x v="120"/>
    <n v="330000"/>
    <n v="191640"/>
    <s v="KBZ Pay"/>
    <s v="Min Min"/>
    <s v="Completed"/>
  </r>
  <r>
    <s v="ORD-00061"/>
    <x v="57"/>
    <s v="CUST-0191"/>
    <s v="Customer 191"/>
    <x v="0"/>
    <s v="Hlaing"/>
    <s v="Office Supplies"/>
    <x v="13"/>
    <x v="2"/>
    <n v="45800"/>
    <n v="0.05"/>
    <x v="121"/>
    <n v="156000"/>
    <n v="105060"/>
    <s v="Wave Money"/>
    <s v="Su Su"/>
    <s v="Completed"/>
  </r>
  <r>
    <s v="ORD-00243"/>
    <x v="58"/>
    <s v="CUST-0210"/>
    <s v="Customer 210"/>
    <x v="2"/>
    <s v="Amarapura"/>
    <s v="Electronics"/>
    <x v="5"/>
    <x v="1"/>
    <n v="94600"/>
    <n v="0.15"/>
    <x v="122"/>
    <n v="110000"/>
    <n v="50820"/>
    <s v="Cash"/>
    <s v="Aung Aung"/>
    <s v="Completed"/>
  </r>
  <r>
    <s v="ORD-00318"/>
    <x v="58"/>
    <s v="CUST-0146"/>
    <s v="Customer 146"/>
    <x v="1"/>
    <s v="Naypyidaw"/>
    <s v="Accessories"/>
    <x v="7"/>
    <x v="3"/>
    <n v="31400"/>
    <n v="0"/>
    <x v="123"/>
    <n v="18000"/>
    <n v="13400"/>
    <s v="Credit Card"/>
    <s v="Aung Aung"/>
    <s v="Completed"/>
  </r>
  <r>
    <s v="ORD-00036"/>
    <x v="58"/>
    <s v="CUST-0197"/>
    <s v="Customer 197"/>
    <x v="2"/>
    <s v="Chanmyathazi"/>
    <s v="Furniture"/>
    <x v="6"/>
    <x v="0"/>
    <n v="291000"/>
    <n v="0"/>
    <x v="124"/>
    <n v="1050000"/>
    <n v="405000"/>
    <s v="Credit Card"/>
    <s v="Htet Htet"/>
    <s v="Completed"/>
  </r>
  <r>
    <s v="ORD-00960"/>
    <x v="59"/>
    <s v="CUST-0172"/>
    <s v="Customer 172"/>
    <x v="1"/>
    <s v="Naypyidaw"/>
    <s v="Furniture"/>
    <x v="6"/>
    <x v="1"/>
    <n v="312700"/>
    <n v="0"/>
    <x v="125"/>
    <n v="420000"/>
    <n v="205400"/>
    <s v="Wave Money"/>
    <s v="Nandar"/>
    <s v="Completed"/>
  </r>
  <r>
    <s v="ORD-00068"/>
    <x v="60"/>
    <s v="CUST-0237"/>
    <s v="Customer 237"/>
    <x v="2"/>
    <s v="Mandalay"/>
    <s v="Electronics"/>
    <x v="0"/>
    <x v="4"/>
    <n v="434300"/>
    <n v="0.1"/>
    <x v="126"/>
    <n v="900000"/>
    <n v="272610"/>
    <s v="Credit Card"/>
    <s v="Su Su"/>
    <s v="Completed"/>
  </r>
  <r>
    <s v="ORD-00487"/>
    <x v="61"/>
    <s v="CUST-0222"/>
    <s v="Customer 222"/>
    <x v="1"/>
    <s v="Zabuthiri"/>
    <s v="Furniture"/>
    <x v="9"/>
    <x v="0"/>
    <n v="186300"/>
    <n v="0.02"/>
    <x v="127"/>
    <n v="-575000"/>
    <n v="-337870"/>
    <s v="Cash"/>
    <s v="Thiri"/>
    <s v="Returned"/>
  </r>
  <r>
    <s v="ORD-00518"/>
    <x v="61"/>
    <s v="CUST-0043"/>
    <s v="Customer 043"/>
    <x v="1"/>
    <s v="Naypyidaw"/>
    <s v="Electronics"/>
    <x v="3"/>
    <x v="3"/>
    <n v="1333500"/>
    <n v="0.1"/>
    <x v="128"/>
    <n v="950000"/>
    <n v="250150"/>
    <s v="KBZ Pay"/>
    <s v="May Zin"/>
    <s v="Completed"/>
  </r>
  <r>
    <s v="ORD-00455"/>
    <x v="61"/>
    <s v="CUST-0234"/>
    <s v="Customer 234"/>
    <x v="2"/>
    <s v="Mandalay"/>
    <s v="Office Supplies"/>
    <x v="13"/>
    <x v="4"/>
    <n v="46100"/>
    <n v="0.05"/>
    <x v="129"/>
    <n v="78000"/>
    <n v="53385"/>
    <s v="Cash"/>
    <s v="May Zin"/>
    <s v="Completed"/>
  </r>
  <r>
    <s v="ORD-00130"/>
    <x v="61"/>
    <s v="CUST-0233"/>
    <s v="Customer 233"/>
    <x v="3"/>
    <s v="Pyay"/>
    <s v="Furniture"/>
    <x v="9"/>
    <x v="1"/>
    <n v="173500"/>
    <n v="0.15"/>
    <x v="130"/>
    <n v="230000"/>
    <n v="64950"/>
    <s v="Bank Transfer"/>
    <s v="May Zin"/>
    <s v="Completed"/>
  </r>
  <r>
    <s v="ORD-00878"/>
    <x v="62"/>
    <s v="CUST-0192"/>
    <s v="Customer 192"/>
    <x v="0"/>
    <s v="Hlaing"/>
    <s v="Electronics"/>
    <x v="3"/>
    <x v="1"/>
    <n v="1172200"/>
    <n v="0.05"/>
    <x v="131"/>
    <n v="1900000"/>
    <n v="327180"/>
    <s v="Cash"/>
    <s v="Aung Aung"/>
    <s v="Completed"/>
  </r>
  <r>
    <s v="ORD-00679"/>
    <x v="62"/>
    <s v="CUST-0055"/>
    <s v="Customer 055"/>
    <x v="3"/>
    <s v="Bago"/>
    <s v="Accessories"/>
    <x v="7"/>
    <x v="1"/>
    <n v="33100"/>
    <n v="0"/>
    <x v="132"/>
    <n v="36000"/>
    <n v="30200"/>
    <s v="Wave Money"/>
    <s v="May Zin"/>
    <s v="Completed"/>
  </r>
  <r>
    <s v="ORD-00017"/>
    <x v="63"/>
    <s v="CUST-0053"/>
    <s v="Customer 053"/>
    <x v="0"/>
    <s v="Hlaing"/>
    <s v="Office Supplies"/>
    <x v="13"/>
    <x v="5"/>
    <n v="43400"/>
    <n v="0.1"/>
    <x v="133"/>
    <n v="182000"/>
    <n v="91420"/>
    <s v="KBZ Pay"/>
    <s v="Htet Htet"/>
    <s v="Completed"/>
  </r>
  <r>
    <s v="ORD-00267"/>
    <x v="64"/>
    <s v="CUST-0081"/>
    <s v="Customer 081"/>
    <x v="2"/>
    <s v="Chanmyathazi"/>
    <s v="Furniture"/>
    <x v="2"/>
    <x v="0"/>
    <n v="518000"/>
    <n v="0.15"/>
    <x v="134"/>
    <n v="1825000"/>
    <n v="376500"/>
    <s v="Bank Transfer"/>
    <s v="Aung Aung"/>
    <s v="Completed"/>
  </r>
  <r>
    <s v="ORD-00218"/>
    <x v="64"/>
    <s v="CUST-0189"/>
    <s v="Customer 189"/>
    <x v="0"/>
    <s v="Tamwe"/>
    <s v="Electronics"/>
    <x v="5"/>
    <x v="3"/>
    <n v="94500"/>
    <n v="0.15"/>
    <x v="135"/>
    <n v="55000"/>
    <n v="25325"/>
    <s v="Cash"/>
    <s v="Aung Aung"/>
    <s v="Completed"/>
  </r>
  <r>
    <s v="ORD-00606"/>
    <x v="64"/>
    <s v="CUST-0237"/>
    <s v="Customer 237"/>
    <x v="3"/>
    <s v="Taungoo"/>
    <s v="Furniture"/>
    <x v="2"/>
    <x v="6"/>
    <n v="531700"/>
    <n v="0.02"/>
    <x v="8"/>
    <n v="0"/>
    <n v="0"/>
    <s v="Credit Card"/>
    <s v="Kyaw Kyaw"/>
    <s v="Cancelled"/>
  </r>
  <r>
    <s v="ORD-00576"/>
    <x v="64"/>
    <s v="CUST-0201"/>
    <s v="Customer 201"/>
    <x v="3"/>
    <s v="Taungoo"/>
    <s v="Accessories"/>
    <x v="12"/>
    <x v="5"/>
    <n v="83500"/>
    <n v="0"/>
    <x v="136"/>
    <n v="364000"/>
    <n v="220500"/>
    <s v="Cash"/>
    <s v="Kyaw Kyaw"/>
    <s v="Completed"/>
  </r>
  <r>
    <s v="ORD-00627"/>
    <x v="65"/>
    <s v="CUST-0096"/>
    <s v="Customer 096"/>
    <x v="2"/>
    <s v="Amarapura"/>
    <s v="Furniture"/>
    <x v="6"/>
    <x v="3"/>
    <n v="307200"/>
    <n v="0.08"/>
    <x v="137"/>
    <n v="210000"/>
    <n v="72624"/>
    <s v="KBZ Pay"/>
    <s v="Htet Htet"/>
    <s v="Completed"/>
  </r>
  <r>
    <s v="ORD-00177"/>
    <x v="66"/>
    <s v="CUST-0225"/>
    <s v="Customer 225"/>
    <x v="1"/>
    <s v="Zabuthiri"/>
    <s v="Furniture"/>
    <x v="6"/>
    <x v="0"/>
    <n v="326200"/>
    <n v="0.08"/>
    <x v="138"/>
    <n v="1050000"/>
    <n v="450520"/>
    <s v="Credit Card"/>
    <s v="May Zin"/>
    <s v="Completed"/>
  </r>
  <r>
    <s v="ORD-00586"/>
    <x v="66"/>
    <s v="CUST-0035"/>
    <s v="Customer 035"/>
    <x v="3"/>
    <s v="Bago"/>
    <s v="Electronics"/>
    <x v="3"/>
    <x v="0"/>
    <n v="1271900"/>
    <n v="0.1"/>
    <x v="139"/>
    <n v="4750000"/>
    <n v="973550"/>
    <s v="Bank Transfer"/>
    <s v="Min Min"/>
    <s v="Completed"/>
  </r>
  <r>
    <s v="ORD-00324"/>
    <x v="66"/>
    <s v="CUST-0063"/>
    <s v="Customer 063"/>
    <x v="1"/>
    <s v="Pyinmana"/>
    <s v="Electronics"/>
    <x v="0"/>
    <x v="4"/>
    <n v="439200"/>
    <n v="0.05"/>
    <x v="8"/>
    <n v="0"/>
    <n v="0"/>
    <s v="KBZ Pay"/>
    <s v="Su Su"/>
    <s v="Cancelled"/>
  </r>
  <r>
    <s v="ORD-00957"/>
    <x v="66"/>
    <s v="CUST-0192"/>
    <s v="Customer 192"/>
    <x v="0"/>
    <s v="Hlaing"/>
    <s v="Furniture"/>
    <x v="9"/>
    <x v="5"/>
    <n v="187900"/>
    <n v="0.1"/>
    <x v="140"/>
    <n v="805000"/>
    <n v="378770"/>
    <s v="Bank Transfer"/>
    <s v="Su Su"/>
    <s v="Completed"/>
  </r>
  <r>
    <s v="ORD-00682"/>
    <x v="67"/>
    <s v="CUST-0047"/>
    <s v="Customer 047"/>
    <x v="2"/>
    <s v="Mandalay"/>
    <s v="Accessories"/>
    <x v="14"/>
    <x v="2"/>
    <n v="76200"/>
    <n v="0.05"/>
    <x v="141"/>
    <n v="258000"/>
    <n v="176340"/>
    <s v="Wave Money"/>
    <s v="May Zin"/>
    <s v="Completed"/>
  </r>
  <r>
    <s v="ORD-00888"/>
    <x v="67"/>
    <s v="CUST-0178"/>
    <s v="Customer 178"/>
    <x v="4"/>
    <s v="Lashio"/>
    <s v="Furniture"/>
    <x v="6"/>
    <x v="0"/>
    <n v="323500"/>
    <n v="0.1"/>
    <x v="142"/>
    <n v="1050000"/>
    <n v="405750"/>
    <s v="KBZ Pay"/>
    <s v="Aung Aung"/>
    <s v="Completed"/>
  </r>
  <r>
    <s v="ORD-00312"/>
    <x v="67"/>
    <s v="CUST-0239"/>
    <s v="Customer 239"/>
    <x v="0"/>
    <s v="Tamwe"/>
    <s v="Accessories"/>
    <x v="12"/>
    <x v="5"/>
    <n v="80800"/>
    <n v="0.02"/>
    <x v="143"/>
    <n v="364000"/>
    <n v="190288"/>
    <s v="Credit Card"/>
    <s v="Aung Aung"/>
    <s v="Completed"/>
  </r>
  <r>
    <s v="ORD-00598"/>
    <x v="67"/>
    <s v="CUST-0230"/>
    <s v="Customer 230"/>
    <x v="0"/>
    <s v="Hlaing"/>
    <s v="Accessories"/>
    <x v="14"/>
    <x v="1"/>
    <n v="76900"/>
    <n v="0.08"/>
    <x v="144"/>
    <n v="86000"/>
    <n v="55496"/>
    <s v="KBZ Pay"/>
    <s v="May Zin"/>
    <s v="Completed"/>
  </r>
  <r>
    <s v="ORD-00565"/>
    <x v="67"/>
    <s v="CUST-0063"/>
    <s v="Customer 063"/>
    <x v="3"/>
    <s v="Bago"/>
    <s v="Electronics"/>
    <x v="3"/>
    <x v="1"/>
    <n v="1176900"/>
    <n v="0.05"/>
    <x v="145"/>
    <n v="1900000"/>
    <n v="336110"/>
    <s v="Wave Money"/>
    <s v="Min Min"/>
    <s v="Completed"/>
  </r>
  <r>
    <s v="ORD-00827"/>
    <x v="68"/>
    <s v="CUST-0072"/>
    <s v="Customer 072"/>
    <x v="0"/>
    <s v="Mayangone"/>
    <s v="Office Supplies"/>
    <x v="13"/>
    <x v="5"/>
    <n v="46000"/>
    <n v="0.1"/>
    <x v="146"/>
    <n v="182000"/>
    <n v="107800"/>
    <s v="Credit Card"/>
    <s v="Kyaw Kyaw"/>
    <s v="Completed"/>
  </r>
  <r>
    <s v="ORD-00339"/>
    <x v="69"/>
    <s v="CUST-0240"/>
    <s v="Customer 240"/>
    <x v="4"/>
    <s v="Muse"/>
    <s v="Electronics"/>
    <x v="0"/>
    <x v="2"/>
    <n v="387200"/>
    <n v="0.05"/>
    <x v="147"/>
    <n v="-1800000"/>
    <n v="-407040"/>
    <s v="Bank Transfer"/>
    <s v="Thiri"/>
    <s v="Returned"/>
  </r>
  <r>
    <s v="ORD-00747"/>
    <x v="69"/>
    <s v="CUST-0089"/>
    <s v="Customer 089"/>
    <x v="0"/>
    <s v="Hlaing"/>
    <s v="Office Supplies"/>
    <x v="4"/>
    <x v="3"/>
    <n v="400400"/>
    <n v="0.1"/>
    <x v="148"/>
    <n v="280000"/>
    <n v="80360"/>
    <s v="Bank Transfer"/>
    <s v="Nandar"/>
    <s v="Completed"/>
  </r>
  <r>
    <s v="ORD-00480"/>
    <x v="70"/>
    <s v="CUST-0194"/>
    <s v="Customer 194"/>
    <x v="2"/>
    <s v="Mandalay"/>
    <s v="Office Supplies"/>
    <x v="1"/>
    <x v="6"/>
    <n v="26900"/>
    <n v="0.05"/>
    <x v="149"/>
    <n v="60000"/>
    <n v="42220"/>
    <s v="Cash"/>
    <s v="Aung Aung"/>
    <s v="Completed"/>
  </r>
  <r>
    <s v="ORD-00997"/>
    <x v="71"/>
    <s v="CUST-0142"/>
    <s v="Customer 142"/>
    <x v="4"/>
    <s v="Lashio"/>
    <s v="Accessories"/>
    <x v="14"/>
    <x v="4"/>
    <n v="69900"/>
    <n v="0.15"/>
    <x v="150"/>
    <n v="129000"/>
    <n v="49245"/>
    <s v="KBZ Pay"/>
    <s v="Kyaw Kyaw"/>
    <s v="Completed"/>
  </r>
  <r>
    <s v="ORD-00898"/>
    <x v="72"/>
    <s v="CUST-0115"/>
    <s v="Customer 115"/>
    <x v="1"/>
    <s v="Naypyidaw"/>
    <s v="Office Supplies"/>
    <x v="1"/>
    <x v="2"/>
    <n v="28500"/>
    <n v="0"/>
    <x v="8"/>
    <n v="0"/>
    <n v="0"/>
    <s v="Credit Card"/>
    <s v="Aung Aung"/>
    <s v="Cancelled"/>
  </r>
  <r>
    <s v="ORD-00980"/>
    <x v="73"/>
    <s v="CUST-0062"/>
    <s v="Customer 062"/>
    <x v="0"/>
    <s v="Tamwe"/>
    <s v="Electronics"/>
    <x v="3"/>
    <x v="0"/>
    <n v="1207100"/>
    <n v="0.02"/>
    <x v="151"/>
    <n v="4750000"/>
    <n v="1164790"/>
    <s v="Credit Card"/>
    <s v="Min Min"/>
    <s v="Completed"/>
  </r>
  <r>
    <s v="ORD-00819"/>
    <x v="74"/>
    <s v="CUST-0147"/>
    <s v="Customer 147"/>
    <x v="2"/>
    <s v="Chanmyathazi"/>
    <s v="Furniture"/>
    <x v="2"/>
    <x v="5"/>
    <n v="543100"/>
    <n v="0.05"/>
    <x v="152"/>
    <n v="2555000"/>
    <n v="1056615"/>
    <s v="Cash"/>
    <s v="Nandar"/>
    <s v="Completed"/>
  </r>
  <r>
    <s v="ORD-00855"/>
    <x v="74"/>
    <s v="CUST-0196"/>
    <s v="Customer 196"/>
    <x v="1"/>
    <s v="Zabuthiri"/>
    <s v="Accessories"/>
    <x v="14"/>
    <x v="1"/>
    <n v="75700"/>
    <n v="0.15"/>
    <x v="153"/>
    <n v="86000"/>
    <n v="42690"/>
    <s v="Wave Money"/>
    <s v="May Zin"/>
    <s v="Completed"/>
  </r>
  <r>
    <s v="ORD-00441"/>
    <x v="75"/>
    <s v="CUST-0206"/>
    <s v="Customer 206"/>
    <x v="1"/>
    <s v="Zabuthiri"/>
    <s v="Office Supplies"/>
    <x v="1"/>
    <x v="0"/>
    <n v="27000"/>
    <n v="0"/>
    <x v="154"/>
    <n v="75000"/>
    <n v="60000"/>
    <s v="Wave Money"/>
    <s v="May Zin"/>
    <s v="Completed"/>
  </r>
  <r>
    <s v="ORD-00419"/>
    <x v="75"/>
    <s v="CUST-0205"/>
    <s v="Customer 205"/>
    <x v="4"/>
    <s v="Taunggyi"/>
    <s v="Furniture"/>
    <x v="6"/>
    <x v="2"/>
    <n v="325900"/>
    <n v="0.05"/>
    <x v="155"/>
    <n v="1260000"/>
    <n v="597630"/>
    <s v="Wave Money"/>
    <s v="Min Min"/>
    <s v="Completed"/>
  </r>
  <r>
    <s v="ORD-00035"/>
    <x v="75"/>
    <s v="CUST-0247"/>
    <s v="Customer 247"/>
    <x v="2"/>
    <s v="Mandalay"/>
    <s v="Furniture"/>
    <x v="6"/>
    <x v="3"/>
    <n v="332600"/>
    <n v="0.08"/>
    <x v="156"/>
    <n v="210000"/>
    <n v="95992"/>
    <s v="Bank Transfer"/>
    <s v="Min Min"/>
    <s v="Completed"/>
  </r>
  <r>
    <s v="ORD-00517"/>
    <x v="76"/>
    <s v="CUST-0154"/>
    <s v="Customer 154"/>
    <x v="0"/>
    <s v="Yangon"/>
    <s v="Accessories"/>
    <x v="14"/>
    <x v="3"/>
    <n v="77500"/>
    <n v="0.05"/>
    <x v="157"/>
    <n v="43000"/>
    <n v="30625"/>
    <s v="Bank Transfer"/>
    <s v="Min Min"/>
    <s v="Completed"/>
  </r>
  <r>
    <s v="ORD-00224"/>
    <x v="76"/>
    <s v="CUST-0011"/>
    <s v="Customer 011"/>
    <x v="0"/>
    <s v="Tamwe"/>
    <s v="Electronics"/>
    <x v="5"/>
    <x v="5"/>
    <n v="99900"/>
    <n v="0.02"/>
    <x v="158"/>
    <n v="385000"/>
    <n v="300314"/>
    <s v="Wave Money"/>
    <s v="Nandar"/>
    <s v="Completed"/>
  </r>
  <r>
    <s v="ORD-00595"/>
    <x v="76"/>
    <s v="CUST-0111"/>
    <s v="Customer 111"/>
    <x v="4"/>
    <s v="Muse"/>
    <s v="Furniture"/>
    <x v="6"/>
    <x v="5"/>
    <n v="333500"/>
    <n v="0.15"/>
    <x v="159"/>
    <n v="1470000"/>
    <n v="514325"/>
    <s v="Wave Money"/>
    <s v="Su Su"/>
    <s v="Completed"/>
  </r>
  <r>
    <s v="ORD-00392"/>
    <x v="77"/>
    <s v="CUST-0065"/>
    <s v="Customer 065"/>
    <x v="0"/>
    <s v="Mayangone"/>
    <s v="Electronics"/>
    <x v="3"/>
    <x v="0"/>
    <n v="1172300"/>
    <n v="0.05"/>
    <x v="160"/>
    <n v="4750000"/>
    <n v="818425"/>
    <s v="Credit Card"/>
    <s v="Min Min"/>
    <s v="Completed"/>
  </r>
  <r>
    <s v="ORD-00111"/>
    <x v="77"/>
    <s v="CUST-0214"/>
    <s v="Customer 214"/>
    <x v="4"/>
    <s v="Muse"/>
    <s v="Electronics"/>
    <x v="0"/>
    <x v="5"/>
    <n v="390800"/>
    <n v="0.02"/>
    <x v="161"/>
    <n v="2100000"/>
    <n v="580888"/>
    <s v="Bank Transfer"/>
    <s v="Aung Aung"/>
    <s v="Completed"/>
  </r>
  <r>
    <s v="ORD-00897"/>
    <x v="78"/>
    <s v="CUST-0087"/>
    <s v="Customer 087"/>
    <x v="2"/>
    <s v="Amarapura"/>
    <s v="Electronics"/>
    <x v="0"/>
    <x v="4"/>
    <n v="397200"/>
    <n v="0.02"/>
    <x v="162"/>
    <n v="900000"/>
    <n v="267768"/>
    <s v="Wave Money"/>
    <s v="Htet Htet"/>
    <s v="Completed"/>
  </r>
  <r>
    <s v="ORD-00770"/>
    <x v="78"/>
    <s v="CUST-0083"/>
    <s v="Customer 083"/>
    <x v="0"/>
    <s v="Hlaing"/>
    <s v="Office Supplies"/>
    <x v="4"/>
    <x v="5"/>
    <n v="403500"/>
    <n v="0.02"/>
    <x v="163"/>
    <n v="1960000"/>
    <n v="808010"/>
    <s v="KBZ Pay"/>
    <s v="Nandar"/>
    <s v="Completed"/>
  </r>
  <r>
    <s v="ORD-00728"/>
    <x v="78"/>
    <s v="CUST-0203"/>
    <s v="Customer 203"/>
    <x v="2"/>
    <s v="Chanmyathazi"/>
    <s v="Furniture"/>
    <x v="6"/>
    <x v="1"/>
    <n v="326100"/>
    <n v="0.05"/>
    <x v="164"/>
    <n v="420000"/>
    <n v="199590"/>
    <s v="Cash"/>
    <s v="Htet Htet"/>
    <s v="Completed"/>
  </r>
  <r>
    <s v="ORD-00762"/>
    <x v="79"/>
    <s v="CUST-0214"/>
    <s v="Customer 214"/>
    <x v="4"/>
    <s v="Muse"/>
    <s v="Electronics"/>
    <x v="8"/>
    <x v="0"/>
    <n v="657500"/>
    <n v="0.1"/>
    <x v="165"/>
    <n v="2350000"/>
    <n v="608750"/>
    <s v="Credit Card"/>
    <s v="Nandar"/>
    <s v="Completed"/>
  </r>
  <r>
    <s v="ORD-00660"/>
    <x v="79"/>
    <s v="CUST-0140"/>
    <s v="Customer 140"/>
    <x v="1"/>
    <s v="Zabuthiri"/>
    <s v="Electronics"/>
    <x v="0"/>
    <x v="3"/>
    <n v="390100"/>
    <n v="0.1"/>
    <x v="166"/>
    <n v="300000"/>
    <n v="51090"/>
    <s v="Wave Money"/>
    <s v="Htet Htet"/>
    <s v="Completed"/>
  </r>
  <r>
    <s v="ORD-00932"/>
    <x v="80"/>
    <s v="CUST-0226"/>
    <s v="Customer 226"/>
    <x v="0"/>
    <s v="Hlaing"/>
    <s v="Furniture"/>
    <x v="6"/>
    <x v="4"/>
    <n v="328000"/>
    <n v="0.08"/>
    <x v="167"/>
    <n v="630000"/>
    <n v="275280"/>
    <s v="Bank Transfer"/>
    <s v="Htet Htet"/>
    <s v="Completed"/>
  </r>
  <r>
    <s v="ORD-00172"/>
    <x v="80"/>
    <s v="CUST-0231"/>
    <s v="Customer 231"/>
    <x v="2"/>
    <s v="Chanmyathazi"/>
    <s v="Furniture"/>
    <x v="6"/>
    <x v="3"/>
    <n v="314700"/>
    <n v="0.05"/>
    <x v="168"/>
    <n v="210000"/>
    <n v="88965"/>
    <s v="Cash"/>
    <s v="Htet Htet"/>
    <s v="Completed"/>
  </r>
  <r>
    <s v="ORD-00001"/>
    <x v="81"/>
    <s v="CUST-0100"/>
    <s v="Customer 100"/>
    <x v="3"/>
    <s v="Pyay"/>
    <s v="Furniture"/>
    <x v="6"/>
    <x v="0"/>
    <n v="292900"/>
    <n v="0"/>
    <x v="169"/>
    <n v="1050000"/>
    <n v="414500"/>
    <s v="Bank Transfer"/>
    <s v="Nandar"/>
    <s v="Completed"/>
  </r>
  <r>
    <s v="ORD-00824"/>
    <x v="82"/>
    <s v="CUST-0206"/>
    <s v="Customer 206"/>
    <x v="0"/>
    <s v="Mayangone"/>
    <s v="Electronics"/>
    <x v="8"/>
    <x v="6"/>
    <n v="647900"/>
    <n v="0"/>
    <x v="170"/>
    <n v="1880000"/>
    <n v="711600"/>
    <s v="Bank Transfer"/>
    <s v="May Zin"/>
    <s v="Completed"/>
  </r>
  <r>
    <s v="ORD-00191"/>
    <x v="83"/>
    <s v="CUST-0188"/>
    <s v="Customer 188"/>
    <x v="0"/>
    <s v="Mayangone"/>
    <s v="Electronics"/>
    <x v="3"/>
    <x v="1"/>
    <n v="1237500"/>
    <n v="0.02"/>
    <x v="171"/>
    <n v="1900000"/>
    <n v="525500"/>
    <s v="KBZ Pay"/>
    <s v="Nandar"/>
    <s v="Completed"/>
  </r>
  <r>
    <s v="ORD-00863"/>
    <x v="83"/>
    <s v="CUST-0066"/>
    <s v="Customer 066"/>
    <x v="0"/>
    <s v="Tamwe"/>
    <s v="Electronics"/>
    <x v="3"/>
    <x v="6"/>
    <n v="1264100"/>
    <n v="0.05"/>
    <x v="172"/>
    <n v="3800000"/>
    <n v="1003580"/>
    <s v="KBZ Pay"/>
    <s v="Thiri"/>
    <s v="Completed"/>
  </r>
  <r>
    <s v="ORD-00607"/>
    <x v="83"/>
    <s v="CUST-0035"/>
    <s v="Customer 035"/>
    <x v="0"/>
    <s v="Hlaing"/>
    <s v="Furniture"/>
    <x v="9"/>
    <x v="6"/>
    <n v="167000"/>
    <n v="0.05"/>
    <x v="173"/>
    <n v="460000"/>
    <n v="174600"/>
    <s v="KBZ Pay"/>
    <s v="Nandar"/>
    <s v="Completed"/>
  </r>
  <r>
    <s v="ORD-00166"/>
    <x v="84"/>
    <s v="CUST-0118"/>
    <s v="Customer 118"/>
    <x v="0"/>
    <s v="Yangon"/>
    <s v="Electronics"/>
    <x v="0"/>
    <x v="3"/>
    <n v="424500"/>
    <n v="0.02"/>
    <x v="8"/>
    <n v="0"/>
    <n v="0"/>
    <s v="Credit Card"/>
    <s v="May Zin"/>
    <s v="Cancelled"/>
  </r>
  <r>
    <s v="ORD-00202"/>
    <x v="84"/>
    <s v="CUST-0132"/>
    <s v="Customer 132"/>
    <x v="1"/>
    <s v="Naypyidaw"/>
    <s v="Electronics"/>
    <x v="8"/>
    <x v="1"/>
    <n v="599000"/>
    <n v="0.02"/>
    <x v="174"/>
    <n v="940000"/>
    <n v="234040"/>
    <s v="Cash"/>
    <s v="Nandar"/>
    <s v="Completed"/>
  </r>
  <r>
    <s v="ORD-00443"/>
    <x v="85"/>
    <s v="CUST-0220"/>
    <s v="Customer 220"/>
    <x v="4"/>
    <s v="Muse"/>
    <s v="Furniture"/>
    <x v="2"/>
    <x v="2"/>
    <n v="488200"/>
    <n v="0"/>
    <x v="175"/>
    <n v="2190000"/>
    <n v="739200"/>
    <s v="Cash"/>
    <s v="Min Min"/>
    <s v="Completed"/>
  </r>
  <r>
    <s v="ORD-00444"/>
    <x v="86"/>
    <s v="CUST-0095"/>
    <s v="Customer 095"/>
    <x v="0"/>
    <s v="Tamwe"/>
    <s v="Furniture"/>
    <x v="6"/>
    <x v="4"/>
    <n v="326100"/>
    <n v="0.1"/>
    <x v="176"/>
    <n v="630000"/>
    <n v="250470"/>
    <s v="Cash"/>
    <s v="Kyaw Kyaw"/>
    <s v="Completed"/>
  </r>
  <r>
    <s v="ORD-00182"/>
    <x v="86"/>
    <s v="CUST-0226"/>
    <s v="Customer 226"/>
    <x v="4"/>
    <s v="Lashio"/>
    <s v="Electronics"/>
    <x v="0"/>
    <x v="4"/>
    <n v="413200"/>
    <n v="0"/>
    <x v="177"/>
    <n v="900000"/>
    <n v="339600"/>
    <s v="Bank Transfer"/>
    <s v="Htet Htet"/>
    <s v="Completed"/>
  </r>
  <r>
    <s v="ORD-00809"/>
    <x v="86"/>
    <s v="CUST-0086"/>
    <s v="Customer 086"/>
    <x v="1"/>
    <s v="Pyinmana"/>
    <s v="Furniture"/>
    <x v="2"/>
    <x v="0"/>
    <n v="552800"/>
    <n v="0.1"/>
    <x v="178"/>
    <n v="1825000"/>
    <n v="662600"/>
    <s v="Credit Card"/>
    <s v="Su Su"/>
    <s v="Completed"/>
  </r>
  <r>
    <s v="ORD-00925"/>
    <x v="87"/>
    <s v="CUST-0048"/>
    <s v="Customer 048"/>
    <x v="0"/>
    <s v="Mayangone"/>
    <s v="Office Supplies"/>
    <x v="4"/>
    <x v="6"/>
    <n v="365700"/>
    <n v="0.05"/>
    <x v="179"/>
    <n v="1120000"/>
    <n v="269660"/>
    <s v="Bank Transfer"/>
    <s v="May Zin"/>
    <s v="Completed"/>
  </r>
  <r>
    <s v="ORD-00619"/>
    <x v="88"/>
    <s v="CUST-0236"/>
    <s v="Customer 236"/>
    <x v="4"/>
    <s v="Lashio"/>
    <s v="Electronics"/>
    <x v="0"/>
    <x v="2"/>
    <n v="432000"/>
    <n v="0.02"/>
    <x v="180"/>
    <n v="1800000"/>
    <n v="740160"/>
    <s v="KBZ Pay"/>
    <s v="Thiri"/>
    <s v="Completed"/>
  </r>
  <r>
    <s v="ORD-00221"/>
    <x v="88"/>
    <s v="CUST-0059"/>
    <s v="Customer 059"/>
    <x v="0"/>
    <s v="Hlaing"/>
    <s v="Office Supplies"/>
    <x v="11"/>
    <x v="4"/>
    <n v="245800"/>
    <n v="0.05"/>
    <x v="181"/>
    <n v="495000"/>
    <n v="205530"/>
    <s v="Credit Card"/>
    <s v="Su Su"/>
    <s v="Completed"/>
  </r>
  <r>
    <s v="ORD-00899"/>
    <x v="88"/>
    <s v="CUST-0218"/>
    <s v="Customer 218"/>
    <x v="1"/>
    <s v="Zabuthiri"/>
    <s v="Office Supplies"/>
    <x v="4"/>
    <x v="5"/>
    <n v="371900"/>
    <n v="0.02"/>
    <x v="182"/>
    <n v="1960000"/>
    <n v="591234"/>
    <s v="Bank Transfer"/>
    <s v="Kyaw Kyaw"/>
    <s v="Completed"/>
  </r>
  <r>
    <s v="ORD-00539"/>
    <x v="88"/>
    <s v="CUST-0050"/>
    <s v="Customer 050"/>
    <x v="0"/>
    <s v="Yangon"/>
    <s v="Office Supplies"/>
    <x v="4"/>
    <x v="2"/>
    <n v="401600"/>
    <n v="0.08"/>
    <x v="183"/>
    <n v="1680000"/>
    <n v="536832"/>
    <s v="Credit Card"/>
    <s v="Kyaw Kyaw"/>
    <s v="Completed"/>
  </r>
  <r>
    <s v="ORD-00093"/>
    <x v="89"/>
    <s v="CUST-0110"/>
    <s v="Customer 110"/>
    <x v="2"/>
    <s v="Amarapura"/>
    <s v="Furniture"/>
    <x v="6"/>
    <x v="0"/>
    <n v="288900"/>
    <n v="0.08"/>
    <x v="184"/>
    <n v="1050000"/>
    <n v="278940"/>
    <s v="Wave Money"/>
    <s v="Su Su"/>
    <s v="Completed"/>
  </r>
  <r>
    <s v="ORD-00369"/>
    <x v="89"/>
    <s v="CUST-0021"/>
    <s v="Customer 021"/>
    <x v="2"/>
    <s v="Amarapura"/>
    <s v="Office Supplies"/>
    <x v="1"/>
    <x v="4"/>
    <n v="29500"/>
    <n v="0.02"/>
    <x v="185"/>
    <n v="-45000"/>
    <n v="-41730"/>
    <s v="Wave Money"/>
    <s v="Htet Htet"/>
    <s v="Returned"/>
  </r>
  <r>
    <s v="ORD-00178"/>
    <x v="90"/>
    <s v="CUST-0196"/>
    <s v="Customer 196"/>
    <x v="0"/>
    <s v="Yangon"/>
    <s v="Electronics"/>
    <x v="0"/>
    <x v="3"/>
    <n v="423600"/>
    <n v="0.02"/>
    <x v="186"/>
    <n v="300000"/>
    <n v="115128"/>
    <s v="KBZ Pay"/>
    <s v="Su Su"/>
    <s v="Completed"/>
  </r>
  <r>
    <s v="ORD-00609"/>
    <x v="91"/>
    <s v="CUST-0039"/>
    <s v="Customer 039"/>
    <x v="4"/>
    <s v="Taunggyi"/>
    <s v="Office Supplies"/>
    <x v="13"/>
    <x v="4"/>
    <n v="43500"/>
    <n v="0.02"/>
    <x v="187"/>
    <n v="78000"/>
    <n v="49890"/>
    <s v="Wave Money"/>
    <s v="Min Min"/>
    <s v="Completed"/>
  </r>
  <r>
    <s v="ORD-00853"/>
    <x v="91"/>
    <s v="CUST-0077"/>
    <s v="Customer 077"/>
    <x v="0"/>
    <s v="Tamwe"/>
    <s v="Accessories"/>
    <x v="14"/>
    <x v="5"/>
    <n v="70800"/>
    <n v="0.1"/>
    <x v="188"/>
    <n v="301000"/>
    <n v="145040"/>
    <s v="KBZ Pay"/>
    <s v="May Zin"/>
    <s v="Completed"/>
  </r>
  <r>
    <s v="ORD-00687"/>
    <x v="92"/>
    <s v="CUST-0244"/>
    <s v="Customer 244"/>
    <x v="0"/>
    <s v="Hlaing"/>
    <s v="Office Supplies"/>
    <x v="4"/>
    <x v="2"/>
    <n v="394000"/>
    <n v="0.02"/>
    <x v="189"/>
    <n v="1680000"/>
    <n v="636720"/>
    <s v="KBZ Pay"/>
    <s v="Kyaw Kyaw"/>
    <s v="Completed"/>
  </r>
  <r>
    <s v="ORD-00664"/>
    <x v="92"/>
    <s v="CUST-0219"/>
    <s v="Customer 219"/>
    <x v="4"/>
    <s v="Muse"/>
    <s v="Electronics"/>
    <x v="8"/>
    <x v="6"/>
    <n v="603300"/>
    <n v="0.05"/>
    <x v="190"/>
    <n v="1880000"/>
    <n v="412540"/>
    <s v="Credit Card"/>
    <s v="Htet Htet"/>
    <s v="Completed"/>
  </r>
  <r>
    <s v="ORD-00940"/>
    <x v="92"/>
    <s v="CUST-0005"/>
    <s v="Customer 005"/>
    <x v="0"/>
    <s v="Yangon"/>
    <s v="Office Supplies"/>
    <x v="1"/>
    <x v="5"/>
    <n v="28000"/>
    <n v="0.08"/>
    <x v="191"/>
    <n v="105000"/>
    <n v="75320"/>
    <s v="KBZ Pay"/>
    <s v="Nandar"/>
    <s v="Completed"/>
  </r>
  <r>
    <s v="ORD-00146"/>
    <x v="93"/>
    <s v="CUST-0012"/>
    <s v="Customer 012"/>
    <x v="0"/>
    <s v="Mayangone"/>
    <s v="Accessories"/>
    <x v="12"/>
    <x v="6"/>
    <n v="83900"/>
    <n v="0.02"/>
    <x v="192"/>
    <n v="208000"/>
    <n v="120888"/>
    <s v="Bank Transfer"/>
    <s v="Min Min"/>
    <s v="Completed"/>
  </r>
  <r>
    <s v="ORD-00051"/>
    <x v="93"/>
    <s v="CUST-0164"/>
    <s v="Customer 164"/>
    <x v="4"/>
    <s v="Taunggyi"/>
    <s v="Accessories"/>
    <x v="7"/>
    <x v="5"/>
    <n v="34000"/>
    <n v="0.05"/>
    <x v="8"/>
    <n v="0"/>
    <n v="0"/>
    <s v="Bank Transfer"/>
    <s v="Min Min"/>
    <s v="Cancelled"/>
  </r>
  <r>
    <s v="ORD-00264"/>
    <x v="93"/>
    <s v="CUST-0184"/>
    <s v="Customer 184"/>
    <x v="2"/>
    <s v="Amarapura"/>
    <s v="Office Supplies"/>
    <x v="11"/>
    <x v="2"/>
    <n v="225800"/>
    <n v="0.08"/>
    <x v="193"/>
    <n v="990000"/>
    <n v="256416"/>
    <s v="Cash"/>
    <s v="Htet Htet"/>
    <s v="Completed"/>
  </r>
  <r>
    <s v="ORD-00982"/>
    <x v="94"/>
    <s v="CUST-0228"/>
    <s v="Customer 228"/>
    <x v="0"/>
    <s v="Mayangone"/>
    <s v="Furniture"/>
    <x v="9"/>
    <x v="4"/>
    <n v="172100"/>
    <n v="0.02"/>
    <x v="8"/>
    <n v="0"/>
    <n v="0"/>
    <s v="Credit Card"/>
    <s v="May Zin"/>
    <s v="Cancelled"/>
  </r>
  <r>
    <s v="ORD-00083"/>
    <x v="94"/>
    <s v="CUST-0076"/>
    <s v="Customer 076"/>
    <x v="3"/>
    <s v="Pyay"/>
    <s v="Office Supplies"/>
    <x v="4"/>
    <x v="6"/>
    <n v="373800"/>
    <n v="0.08"/>
    <x v="194"/>
    <n v="1120000"/>
    <n v="255584"/>
    <s v="Credit Card"/>
    <s v="Thiri"/>
    <s v="Completed"/>
  </r>
  <r>
    <s v="ORD-00255"/>
    <x v="94"/>
    <s v="CUST-0047"/>
    <s v="Customer 047"/>
    <x v="1"/>
    <s v="Naypyidaw"/>
    <s v="Office Supplies"/>
    <x v="13"/>
    <x v="6"/>
    <n v="44500"/>
    <n v="0"/>
    <x v="195"/>
    <n v="-104000"/>
    <n v="-74000"/>
    <s v="Cash"/>
    <s v="Htet Htet"/>
    <s v="Returned"/>
  </r>
  <r>
    <s v="ORD-00766"/>
    <x v="94"/>
    <s v="CUST-0166"/>
    <s v="Customer 166"/>
    <x v="3"/>
    <s v="Pyay"/>
    <s v="Furniture"/>
    <x v="2"/>
    <x v="2"/>
    <n v="516800"/>
    <n v="0.02"/>
    <x v="196"/>
    <n v="2190000"/>
    <n v="848784"/>
    <s v="KBZ Pay"/>
    <s v="Su Su"/>
    <s v="Completed"/>
  </r>
  <r>
    <s v="ORD-00210"/>
    <x v="94"/>
    <s v="CUST-0103"/>
    <s v="Customer 103"/>
    <x v="1"/>
    <s v="Naypyidaw"/>
    <s v="Office Supplies"/>
    <x v="11"/>
    <x v="5"/>
    <n v="225300"/>
    <n v="0.05"/>
    <x v="197"/>
    <n v="1155000"/>
    <n v="343245"/>
    <s v="Wave Money"/>
    <s v="Aung Aung"/>
    <s v="Completed"/>
  </r>
  <r>
    <s v="ORD-00396"/>
    <x v="95"/>
    <s v="CUST-0228"/>
    <s v="Customer 228"/>
    <x v="2"/>
    <s v="Amarapura"/>
    <s v="Electronics"/>
    <x v="0"/>
    <x v="6"/>
    <n v="451100"/>
    <n v="0"/>
    <x v="198"/>
    <n v="1200000"/>
    <n v="604400"/>
    <s v="Cash"/>
    <s v="May Zin"/>
    <s v="Completed"/>
  </r>
  <r>
    <s v="ORD-00056"/>
    <x v="95"/>
    <s v="CUST-0027"/>
    <s v="Customer 027"/>
    <x v="2"/>
    <s v="Amarapura"/>
    <s v="Furniture"/>
    <x v="2"/>
    <x v="3"/>
    <n v="509700"/>
    <n v="0.08"/>
    <x v="199"/>
    <n v="365000"/>
    <n v="103924"/>
    <s v="Wave Money"/>
    <s v="Aung Aung"/>
    <s v="Completed"/>
  </r>
  <r>
    <s v="ORD-00634"/>
    <x v="96"/>
    <s v="CUST-0173"/>
    <s v="Customer 173"/>
    <x v="1"/>
    <s v="Naypyidaw"/>
    <s v="Accessories"/>
    <x v="10"/>
    <x v="5"/>
    <n v="88700"/>
    <n v="0"/>
    <x v="200"/>
    <n v="406000"/>
    <n v="214900"/>
    <s v="Bank Transfer"/>
    <s v="Nandar"/>
    <s v="Completed"/>
  </r>
  <r>
    <s v="ORD-00199"/>
    <x v="97"/>
    <s v="CUST-0224"/>
    <s v="Customer 224"/>
    <x v="3"/>
    <s v="Pyay"/>
    <s v="Accessories"/>
    <x v="10"/>
    <x v="3"/>
    <n v="90600"/>
    <n v="0.05"/>
    <x v="201"/>
    <n v="58000"/>
    <n v="28070"/>
    <s v="Credit Card"/>
    <s v="Min Min"/>
    <s v="Completed"/>
  </r>
  <r>
    <s v="ORD-00657"/>
    <x v="98"/>
    <s v="CUST-0139"/>
    <s v="Customer 139"/>
    <x v="1"/>
    <s v="Pyinmana"/>
    <s v="Furniture"/>
    <x v="2"/>
    <x v="2"/>
    <n v="521000"/>
    <n v="0.05"/>
    <x v="202"/>
    <n v="2190000"/>
    <n v="779700"/>
    <s v="Wave Money"/>
    <s v="May Zin"/>
    <s v="Completed"/>
  </r>
  <r>
    <s v="ORD-00596"/>
    <x v="98"/>
    <s v="CUST-0130"/>
    <s v="Customer 130"/>
    <x v="1"/>
    <s v="Pyinmana"/>
    <s v="Office Supplies"/>
    <x v="11"/>
    <x v="5"/>
    <n v="250300"/>
    <n v="0.08"/>
    <x v="203"/>
    <n v="1155000"/>
    <n v="456932"/>
    <s v="Wave Money"/>
    <s v="Su Su"/>
    <s v="Completed"/>
  </r>
  <r>
    <s v="ORD-00826"/>
    <x v="99"/>
    <s v="CUST-0188"/>
    <s v="Customer 188"/>
    <x v="4"/>
    <s v="Lashio"/>
    <s v="Office Supplies"/>
    <x v="13"/>
    <x v="2"/>
    <n v="42100"/>
    <n v="0.05"/>
    <x v="204"/>
    <n v="-156000"/>
    <n v="-83970"/>
    <s v="Wave Money"/>
    <s v="Nandar"/>
    <s v="Returned"/>
  </r>
  <r>
    <s v="ORD-00911"/>
    <x v="100"/>
    <s v="CUST-0082"/>
    <s v="Customer 082"/>
    <x v="4"/>
    <s v="Muse"/>
    <s v="Furniture"/>
    <x v="2"/>
    <x v="1"/>
    <n v="482400"/>
    <n v="0"/>
    <x v="205"/>
    <n v="730000"/>
    <n v="234800"/>
    <s v="Bank Transfer"/>
    <s v="Min Min"/>
    <s v="Completed"/>
  </r>
  <r>
    <s v="ORD-00416"/>
    <x v="100"/>
    <s v="CUST-0171"/>
    <s v="Customer 171"/>
    <x v="1"/>
    <s v="Pyinmana"/>
    <s v="Electronics"/>
    <x v="8"/>
    <x v="1"/>
    <n v="602500"/>
    <n v="0.08"/>
    <x v="206"/>
    <n v="940000"/>
    <n v="168600"/>
    <s v="KBZ Pay"/>
    <s v="Kyaw Kyaw"/>
    <s v="Completed"/>
  </r>
  <r>
    <s v="ORD-00708"/>
    <x v="100"/>
    <s v="CUST-0186"/>
    <s v="Customer 186"/>
    <x v="2"/>
    <s v="Chanmyathazi"/>
    <s v="Electronics"/>
    <x v="8"/>
    <x v="0"/>
    <n v="665800"/>
    <n v="0.08"/>
    <x v="207"/>
    <n v="2350000"/>
    <n v="712680"/>
    <s v="Credit Card"/>
    <s v="Htet Htet"/>
    <s v="Completed"/>
  </r>
  <r>
    <s v="ORD-00367"/>
    <x v="100"/>
    <s v="CUST-0020"/>
    <s v="Customer 020"/>
    <x v="2"/>
    <s v="Mandalay"/>
    <s v="Electronics"/>
    <x v="3"/>
    <x v="5"/>
    <n v="1296600"/>
    <n v="0.08"/>
    <x v="208"/>
    <n v="6650000"/>
    <n v="1700104"/>
    <s v="Cash"/>
    <s v="Nandar"/>
    <s v="Completed"/>
  </r>
  <r>
    <s v="ORD-00259"/>
    <x v="100"/>
    <s v="CUST-0059"/>
    <s v="Customer 059"/>
    <x v="0"/>
    <s v="Mayangone"/>
    <s v="Electronics"/>
    <x v="0"/>
    <x v="2"/>
    <n v="426900"/>
    <n v="0.08"/>
    <x v="8"/>
    <n v="0"/>
    <n v="0"/>
    <s v="Bank Transfer"/>
    <s v="May Zin"/>
    <s v="Cancelled"/>
  </r>
  <r>
    <s v="ORD-00597"/>
    <x v="101"/>
    <s v="CUST-0164"/>
    <s v="Customer 164"/>
    <x v="1"/>
    <s v="Zabuthiri"/>
    <s v="Electronics"/>
    <x v="8"/>
    <x v="1"/>
    <n v="646800"/>
    <n v="0.1"/>
    <x v="209"/>
    <n v="940000"/>
    <n v="224240"/>
    <s v="Credit Card"/>
    <s v="Kyaw Kyaw"/>
    <s v="Completed"/>
  </r>
  <r>
    <s v="ORD-00086"/>
    <x v="102"/>
    <s v="CUST-0151"/>
    <s v="Customer 151"/>
    <x v="0"/>
    <s v="Mayangone"/>
    <s v="Office Supplies"/>
    <x v="4"/>
    <x v="2"/>
    <n v="354300"/>
    <n v="0"/>
    <x v="210"/>
    <n v="1680000"/>
    <n v="445800"/>
    <s v="Wave Money"/>
    <s v="Aung Aung"/>
    <s v="Completed"/>
  </r>
  <r>
    <s v="ORD-00142"/>
    <x v="102"/>
    <s v="CUST-0122"/>
    <s v="Customer 122"/>
    <x v="2"/>
    <s v="Amarapura"/>
    <s v="Office Supplies"/>
    <x v="13"/>
    <x v="2"/>
    <n v="45700"/>
    <n v="0.08"/>
    <x v="211"/>
    <n v="156000"/>
    <n v="96264"/>
    <s v="Wave Money"/>
    <s v="Min Min"/>
    <s v="Completed"/>
  </r>
  <r>
    <s v="ORD-00476"/>
    <x v="102"/>
    <s v="CUST-0173"/>
    <s v="Customer 173"/>
    <x v="2"/>
    <s v="Amarapura"/>
    <s v="Office Supplies"/>
    <x v="1"/>
    <x v="6"/>
    <n v="30200"/>
    <n v="0"/>
    <x v="212"/>
    <n v="60000"/>
    <n v="60800"/>
    <s v="Credit Card"/>
    <s v="Kyaw Kyaw"/>
    <s v="Completed"/>
  </r>
  <r>
    <s v="ORD-00440"/>
    <x v="103"/>
    <s v="CUST-0184"/>
    <s v="Customer 184"/>
    <x v="3"/>
    <s v="Taungoo"/>
    <s v="Electronics"/>
    <x v="5"/>
    <x v="0"/>
    <n v="91900"/>
    <n v="0.05"/>
    <x v="213"/>
    <n v="275000"/>
    <n v="161525"/>
    <s v="Credit Card"/>
    <s v="Aung Aung"/>
    <s v="Completed"/>
  </r>
  <r>
    <s v="ORD-00697"/>
    <x v="103"/>
    <s v="CUST-0016"/>
    <s v="Customer 016"/>
    <x v="1"/>
    <s v="Pyinmana"/>
    <s v="Furniture"/>
    <x v="2"/>
    <x v="3"/>
    <n v="491400"/>
    <n v="0.02"/>
    <x v="214"/>
    <n v="365000"/>
    <n v="116572"/>
    <s v="KBZ Pay"/>
    <s v="May Zin"/>
    <s v="Completed"/>
  </r>
  <r>
    <s v="ORD-00099"/>
    <x v="103"/>
    <s v="CUST-0238"/>
    <s v="Customer 238"/>
    <x v="0"/>
    <s v="Hlaing"/>
    <s v="Electronics"/>
    <x v="8"/>
    <x v="3"/>
    <n v="654300"/>
    <n v="0.05"/>
    <x v="215"/>
    <n v="470000"/>
    <n v="151585"/>
    <s v="Wave Money"/>
    <s v="Htet Htet"/>
    <s v="Completed"/>
  </r>
  <r>
    <s v="ORD-00414"/>
    <x v="103"/>
    <s v="CUST-0028"/>
    <s v="Customer 028"/>
    <x v="1"/>
    <s v="Pyinmana"/>
    <s v="Office Supplies"/>
    <x v="11"/>
    <x v="4"/>
    <n v="221900"/>
    <n v="0.1"/>
    <x v="216"/>
    <n v="495000"/>
    <n v="104130"/>
    <s v="KBZ Pay"/>
    <s v="Nandar"/>
    <s v="Completed"/>
  </r>
  <r>
    <s v="ORD-00593"/>
    <x v="103"/>
    <s v="CUST-0048"/>
    <s v="Customer 048"/>
    <x v="2"/>
    <s v="Chanmyathazi"/>
    <s v="Electronics"/>
    <x v="8"/>
    <x v="0"/>
    <n v="696100"/>
    <n v="0.05"/>
    <x v="217"/>
    <n v="2350000"/>
    <n v="956475"/>
    <s v="KBZ Pay"/>
    <s v="May Zin"/>
    <s v="Completed"/>
  </r>
  <r>
    <s v="ORD-00795"/>
    <x v="104"/>
    <s v="CUST-0161"/>
    <s v="Customer 161"/>
    <x v="2"/>
    <s v="Mandalay"/>
    <s v="Office Supplies"/>
    <x v="1"/>
    <x v="6"/>
    <n v="29500"/>
    <n v="0.05"/>
    <x v="218"/>
    <n v="-60000"/>
    <n v="-52100"/>
    <s v="Cash"/>
    <s v="Htet Htet"/>
    <s v="Returned"/>
  </r>
  <r>
    <s v="ORD-00605"/>
    <x v="104"/>
    <s v="CUST-0058"/>
    <s v="Customer 058"/>
    <x v="0"/>
    <s v="Hlaing"/>
    <s v="Electronics"/>
    <x v="8"/>
    <x v="0"/>
    <n v="682500"/>
    <n v="0.05"/>
    <x v="219"/>
    <n v="2350000"/>
    <n v="891875"/>
    <s v="KBZ Pay"/>
    <s v="Su Su"/>
    <s v="Completed"/>
  </r>
  <r>
    <s v="ORD-00521"/>
    <x v="105"/>
    <s v="CUST-0203"/>
    <s v="Customer 203"/>
    <x v="0"/>
    <s v="Hlaing"/>
    <s v="Accessories"/>
    <x v="14"/>
    <x v="3"/>
    <n v="77200"/>
    <n v="0"/>
    <x v="220"/>
    <n v="43000"/>
    <n v="34200"/>
    <s v="Cash"/>
    <s v="Su Su"/>
    <s v="Completed"/>
  </r>
  <r>
    <s v="ORD-00084"/>
    <x v="105"/>
    <s v="CUST-0046"/>
    <s v="Customer 046"/>
    <x v="0"/>
    <s v="Tamwe"/>
    <s v="Furniture"/>
    <x v="9"/>
    <x v="4"/>
    <n v="182900"/>
    <n v="0.08"/>
    <x v="8"/>
    <n v="0"/>
    <n v="0"/>
    <s v="KBZ Pay"/>
    <s v="Min Min"/>
    <s v="Cancelled"/>
  </r>
  <r>
    <s v="ORD-00181"/>
    <x v="105"/>
    <s v="CUST-0095"/>
    <s v="Customer 095"/>
    <x v="0"/>
    <s v="Hlaing"/>
    <s v="Accessories"/>
    <x v="10"/>
    <x v="1"/>
    <n v="94600"/>
    <n v="0"/>
    <x v="221"/>
    <n v="-116000"/>
    <n v="-73200"/>
    <s v="Credit Card"/>
    <s v="Kyaw Kyaw"/>
    <s v="Returned"/>
  </r>
  <r>
    <s v="ORD-00002"/>
    <x v="106"/>
    <s v="CUST-0022"/>
    <s v="Customer 022"/>
    <x v="0"/>
    <s v="Hlaing"/>
    <s v="Furniture"/>
    <x v="9"/>
    <x v="2"/>
    <n v="165600"/>
    <n v="0.15"/>
    <x v="222"/>
    <n v="690000"/>
    <n v="154560"/>
    <s v="KBZ Pay"/>
    <s v="Thiri"/>
    <s v="Completed"/>
  </r>
  <r>
    <s v="ORD-00633"/>
    <x v="106"/>
    <s v="CUST-0133"/>
    <s v="Customer 133"/>
    <x v="0"/>
    <s v="Mayangone"/>
    <s v="Accessories"/>
    <x v="14"/>
    <x v="3"/>
    <n v="77600"/>
    <n v="0.05"/>
    <x v="223"/>
    <n v="43000"/>
    <n v="30720"/>
    <s v="Credit Card"/>
    <s v="Min Min"/>
    <s v="Completed"/>
  </r>
  <r>
    <s v="ORD-00525"/>
    <x v="107"/>
    <s v="CUST-0090"/>
    <s v="Customer 090"/>
    <x v="4"/>
    <s v="Muse"/>
    <s v="Accessories"/>
    <x v="7"/>
    <x v="0"/>
    <n v="30800"/>
    <n v="0.05"/>
    <x v="224"/>
    <n v="90000"/>
    <n v="56300"/>
    <s v="Wave Money"/>
    <s v="Htet Htet"/>
    <s v="Completed"/>
  </r>
  <r>
    <s v="ORD-00992"/>
    <x v="107"/>
    <s v="CUST-0048"/>
    <s v="Customer 048"/>
    <x v="0"/>
    <s v="Mayangone"/>
    <s v="Electronics"/>
    <x v="5"/>
    <x v="2"/>
    <n v="101000"/>
    <n v="0.05"/>
    <x v="225"/>
    <n v="330000"/>
    <n v="245700"/>
    <s v="Cash"/>
    <s v="Su Su"/>
    <s v="Completed"/>
  </r>
  <r>
    <s v="ORD-00862"/>
    <x v="108"/>
    <s v="CUST-0229"/>
    <s v="Customer 229"/>
    <x v="0"/>
    <s v="Yangon"/>
    <s v="Electronics"/>
    <x v="0"/>
    <x v="5"/>
    <n v="394600"/>
    <n v="0.05"/>
    <x v="226"/>
    <n v="2100000"/>
    <n v="524090"/>
    <s v="Bank Transfer"/>
    <s v="Nandar"/>
    <s v="Completed"/>
  </r>
  <r>
    <s v="ORD-00889"/>
    <x v="109"/>
    <s v="CUST-0195"/>
    <s v="Customer 195"/>
    <x v="2"/>
    <s v="Amarapura"/>
    <s v="Electronics"/>
    <x v="5"/>
    <x v="3"/>
    <n v="90500"/>
    <n v="0"/>
    <x v="227"/>
    <n v="55000"/>
    <n v="35500"/>
    <s v="Wave Money"/>
    <s v="May Zin"/>
    <s v="Completed"/>
  </r>
  <r>
    <s v="ORD-00331"/>
    <x v="109"/>
    <s v="CUST-0074"/>
    <s v="Customer 074"/>
    <x v="2"/>
    <s v="Mandalay"/>
    <s v="Electronics"/>
    <x v="3"/>
    <x v="0"/>
    <n v="1273400"/>
    <n v="0.08"/>
    <x v="228"/>
    <n v="4750000"/>
    <n v="1107640"/>
    <s v="Cash"/>
    <s v="Su Su"/>
    <s v="Completed"/>
  </r>
  <r>
    <s v="ORD-00472"/>
    <x v="109"/>
    <s v="CUST-0013"/>
    <s v="Customer 013"/>
    <x v="2"/>
    <s v="Mandalay"/>
    <s v="Electronics"/>
    <x v="3"/>
    <x v="1"/>
    <n v="1158300"/>
    <n v="0.15"/>
    <x v="229"/>
    <n v="1900000"/>
    <n v="69110"/>
    <s v="Bank Transfer"/>
    <s v="Thiri"/>
    <s v="Completed"/>
  </r>
  <r>
    <s v="ORD-00726"/>
    <x v="110"/>
    <s v="CUST-0001"/>
    <s v="Customer 001"/>
    <x v="3"/>
    <s v="Taungoo"/>
    <s v="Furniture"/>
    <x v="6"/>
    <x v="1"/>
    <n v="305600"/>
    <n v="0.02"/>
    <x v="230"/>
    <n v="420000"/>
    <n v="178976"/>
    <s v="Bank Transfer"/>
    <s v="Thiri"/>
    <s v="Completed"/>
  </r>
  <r>
    <s v="ORD-00737"/>
    <x v="110"/>
    <s v="CUST-0029"/>
    <s v="Customer 029"/>
    <x v="0"/>
    <s v="Hlaing"/>
    <s v="Electronics"/>
    <x v="3"/>
    <x v="3"/>
    <n v="1179900"/>
    <n v="0.05"/>
    <x v="231"/>
    <n v="950000"/>
    <n v="170905"/>
    <s v="Wave Money"/>
    <s v="Su Su"/>
    <s v="Completed"/>
  </r>
  <r>
    <s v="ORD-00404"/>
    <x v="110"/>
    <s v="CUST-0056"/>
    <s v="Customer 056"/>
    <x v="0"/>
    <s v="Yangon"/>
    <s v="Electronics"/>
    <x v="0"/>
    <x v="0"/>
    <n v="438800"/>
    <n v="0"/>
    <x v="232"/>
    <n v="1500000"/>
    <n v="694000"/>
    <s v="Bank Transfer"/>
    <s v="Min Min"/>
    <s v="Completed"/>
  </r>
  <r>
    <s v="ORD-00740"/>
    <x v="111"/>
    <s v="CUST-0048"/>
    <s v="Customer 048"/>
    <x v="4"/>
    <s v="Taunggyi"/>
    <s v="Electronics"/>
    <x v="0"/>
    <x v="6"/>
    <n v="411900"/>
    <n v="0.1"/>
    <x v="233"/>
    <n v="1200000"/>
    <n v="282840"/>
    <s v="Credit Card"/>
    <s v="Nandar"/>
    <s v="Completed"/>
  </r>
  <r>
    <s v="ORD-00743"/>
    <x v="112"/>
    <s v="CUST-0209"/>
    <s v="Customer 209"/>
    <x v="1"/>
    <s v="Pyinmana"/>
    <s v="Office Supplies"/>
    <x v="4"/>
    <x v="2"/>
    <n v="358500"/>
    <n v="0.08"/>
    <x v="8"/>
    <n v="0"/>
    <n v="0"/>
    <s v="KBZ Pay"/>
    <s v="Nandar"/>
    <s v="Cancelled"/>
  </r>
  <r>
    <s v="ORD-00234"/>
    <x v="113"/>
    <s v="CUST-0099"/>
    <s v="Customer 099"/>
    <x v="0"/>
    <s v="Tamwe"/>
    <s v="Furniture"/>
    <x v="6"/>
    <x v="2"/>
    <n v="322900"/>
    <n v="0.1"/>
    <x v="234"/>
    <n v="1260000"/>
    <n v="483660"/>
    <s v="Cash"/>
    <s v="Htet Htet"/>
    <s v="Completed"/>
  </r>
  <r>
    <s v="ORD-00823"/>
    <x v="113"/>
    <s v="CUST-0087"/>
    <s v="Customer 087"/>
    <x v="0"/>
    <s v="Tamwe"/>
    <s v="Office Supplies"/>
    <x v="13"/>
    <x v="6"/>
    <n v="43300"/>
    <n v="0.08"/>
    <x v="235"/>
    <n v="104000"/>
    <n v="55344"/>
    <s v="Wave Money"/>
    <s v="Kyaw Kyaw"/>
    <s v="Completed"/>
  </r>
  <r>
    <s v="ORD-00031"/>
    <x v="113"/>
    <s v="CUST-0058"/>
    <s v="Customer 058"/>
    <x v="0"/>
    <s v="Hlaing"/>
    <s v="Office Supplies"/>
    <x v="1"/>
    <x v="2"/>
    <n v="27200"/>
    <n v="0"/>
    <x v="8"/>
    <n v="0"/>
    <n v="0"/>
    <s v="KBZ Pay"/>
    <s v="Kyaw Kyaw"/>
    <s v="Cancelled"/>
  </r>
  <r>
    <s v="ORD-00465"/>
    <x v="114"/>
    <s v="CUST-0215"/>
    <s v="Customer 215"/>
    <x v="3"/>
    <s v="Pyay"/>
    <s v="Office Supplies"/>
    <x v="11"/>
    <x v="4"/>
    <n v="244800"/>
    <n v="0.05"/>
    <x v="236"/>
    <n v="495000"/>
    <n v="202680"/>
    <s v="Bank Transfer"/>
    <s v="Thiri"/>
    <s v="Completed"/>
  </r>
  <r>
    <s v="ORD-00021"/>
    <x v="114"/>
    <s v="CUST-0247"/>
    <s v="Customer 247"/>
    <x v="3"/>
    <s v="Bago"/>
    <s v="Office Supplies"/>
    <x v="4"/>
    <x v="1"/>
    <n v="410200"/>
    <n v="0.15"/>
    <x v="237"/>
    <n v="560000"/>
    <n v="137340"/>
    <s v="Wave Money"/>
    <s v="Aung Aung"/>
    <s v="Completed"/>
  </r>
  <r>
    <s v="ORD-00380"/>
    <x v="115"/>
    <s v="CUST-0089"/>
    <s v="Customer 089"/>
    <x v="2"/>
    <s v="Chanmyathazi"/>
    <s v="Electronics"/>
    <x v="3"/>
    <x v="5"/>
    <n v="1161400"/>
    <n v="0.05"/>
    <x v="238"/>
    <n v="6650000"/>
    <n v="1073310"/>
    <s v="Bank Transfer"/>
    <s v="Nandar"/>
    <s v="Completed"/>
  </r>
  <r>
    <s v="ORD-00149"/>
    <x v="115"/>
    <s v="CUST-0045"/>
    <s v="Customer 045"/>
    <x v="0"/>
    <s v="Yangon"/>
    <s v="Office Supplies"/>
    <x v="1"/>
    <x v="0"/>
    <n v="25800"/>
    <n v="0.05"/>
    <x v="239"/>
    <n v="75000"/>
    <n v="47550"/>
    <s v="Credit Card"/>
    <s v="May Zin"/>
    <s v="Completed"/>
  </r>
  <r>
    <s v="ORD-00787"/>
    <x v="116"/>
    <s v="CUST-0165"/>
    <s v="Customer 165"/>
    <x v="4"/>
    <s v="Taunggyi"/>
    <s v="Furniture"/>
    <x v="2"/>
    <x v="1"/>
    <n v="497900"/>
    <n v="0.02"/>
    <x v="240"/>
    <n v="730000"/>
    <n v="245884"/>
    <s v="Wave Money"/>
    <s v="Su Su"/>
    <s v="Completed"/>
  </r>
  <r>
    <s v="ORD-00268"/>
    <x v="116"/>
    <s v="CUST-0214"/>
    <s v="Customer 214"/>
    <x v="0"/>
    <s v="Tamwe"/>
    <s v="Office Supplies"/>
    <x v="4"/>
    <x v="5"/>
    <n v="387700"/>
    <n v="0.1"/>
    <x v="241"/>
    <n v="1960000"/>
    <n v="482510"/>
    <s v="Bank Transfer"/>
    <s v="Min Min"/>
    <s v="Completed"/>
  </r>
  <r>
    <s v="ORD-00594"/>
    <x v="116"/>
    <s v="CUST-0116"/>
    <s v="Customer 116"/>
    <x v="1"/>
    <s v="Naypyidaw"/>
    <s v="Accessories"/>
    <x v="12"/>
    <x v="4"/>
    <n v="84100"/>
    <n v="0.05"/>
    <x v="242"/>
    <n v="156000"/>
    <n v="83685"/>
    <s v="Bank Transfer"/>
    <s v="Min Min"/>
    <s v="Completed"/>
  </r>
  <r>
    <s v="ORD-00753"/>
    <x v="117"/>
    <s v="CUST-0025"/>
    <s v="Customer 025"/>
    <x v="1"/>
    <s v="Naypyidaw"/>
    <s v="Office Supplies"/>
    <x v="11"/>
    <x v="2"/>
    <n v="231000"/>
    <n v="0.05"/>
    <x v="243"/>
    <n v="990000"/>
    <n v="326700"/>
    <s v="Credit Card"/>
    <s v="Htet Htet"/>
    <s v="Completed"/>
  </r>
  <r>
    <s v="ORD-00529"/>
    <x v="117"/>
    <s v="CUST-0063"/>
    <s v="Customer 063"/>
    <x v="0"/>
    <s v="Yangon"/>
    <s v="Electronics"/>
    <x v="8"/>
    <x v="1"/>
    <n v="660000"/>
    <n v="0.05"/>
    <x v="244"/>
    <n v="940000"/>
    <n v="314000"/>
    <s v="Credit Card"/>
    <s v="Min Min"/>
    <s v="Completed"/>
  </r>
  <r>
    <s v="ORD-00659"/>
    <x v="118"/>
    <s v="CUST-0115"/>
    <s v="Customer 115"/>
    <x v="0"/>
    <s v="Mayangone"/>
    <s v="Electronics"/>
    <x v="0"/>
    <x v="0"/>
    <n v="446100"/>
    <n v="0"/>
    <x v="245"/>
    <n v="1500000"/>
    <n v="730500"/>
    <s v="Cash"/>
    <s v="Min Min"/>
    <s v="Completed"/>
  </r>
  <r>
    <s v="ORD-00395"/>
    <x v="118"/>
    <s v="CUST-0194"/>
    <s v="Customer 194"/>
    <x v="4"/>
    <s v="Muse"/>
    <s v="Electronics"/>
    <x v="0"/>
    <x v="6"/>
    <n v="426500"/>
    <n v="0.08"/>
    <x v="246"/>
    <n v="1200000"/>
    <n v="369520"/>
    <s v="Credit Card"/>
    <s v="Kyaw Kyaw"/>
    <s v="Completed"/>
  </r>
  <r>
    <s v="ORD-00959"/>
    <x v="119"/>
    <s v="CUST-0100"/>
    <s v="Customer 100"/>
    <x v="0"/>
    <s v="Yangon"/>
    <s v="Furniture"/>
    <x v="2"/>
    <x v="3"/>
    <n v="511200"/>
    <n v="0.02"/>
    <x v="247"/>
    <n v="365000"/>
    <n v="135976"/>
    <s v="Credit Card"/>
    <s v="Htet Htet"/>
    <s v="Completed"/>
  </r>
  <r>
    <s v="ORD-00631"/>
    <x v="119"/>
    <s v="CUST-0089"/>
    <s v="Customer 089"/>
    <x v="2"/>
    <s v="Amarapura"/>
    <s v="Office Supplies"/>
    <x v="1"/>
    <x v="2"/>
    <n v="28200"/>
    <n v="0"/>
    <x v="248"/>
    <n v="90000"/>
    <n v="79200"/>
    <s v="KBZ Pay"/>
    <s v="Thiri"/>
    <s v="Completed"/>
  </r>
  <r>
    <s v="ORD-00524"/>
    <x v="120"/>
    <s v="CUST-0157"/>
    <s v="Customer 157"/>
    <x v="0"/>
    <s v="Yangon"/>
    <s v="Electronics"/>
    <x v="5"/>
    <x v="6"/>
    <n v="101300"/>
    <n v="0.02"/>
    <x v="249"/>
    <n v="220000"/>
    <n v="177096"/>
    <s v="Cash"/>
    <s v="May Zin"/>
    <s v="Completed"/>
  </r>
  <r>
    <s v="ORD-00674"/>
    <x v="120"/>
    <s v="CUST-0219"/>
    <s v="Customer 219"/>
    <x v="0"/>
    <s v="Hlaing"/>
    <s v="Furniture"/>
    <x v="2"/>
    <x v="4"/>
    <n v="530900"/>
    <n v="0"/>
    <x v="250"/>
    <n v="1095000"/>
    <n v="497700"/>
    <s v="Bank Transfer"/>
    <s v="Htet Htet"/>
    <s v="Completed"/>
  </r>
  <r>
    <s v="ORD-00101"/>
    <x v="121"/>
    <s v="CUST-0012"/>
    <s v="Customer 012"/>
    <x v="2"/>
    <s v="Chanmyathazi"/>
    <s v="Electronics"/>
    <x v="8"/>
    <x v="0"/>
    <n v="625400"/>
    <n v="0.02"/>
    <x v="251"/>
    <n v="2350000"/>
    <n v="714460"/>
    <s v="KBZ Pay"/>
    <s v="Thiri"/>
    <s v="Completed"/>
  </r>
  <r>
    <s v="ORD-00569"/>
    <x v="121"/>
    <s v="CUST-0117"/>
    <s v="Customer 117"/>
    <x v="2"/>
    <s v="Amarapura"/>
    <s v="Electronics"/>
    <x v="5"/>
    <x v="6"/>
    <n v="89200"/>
    <n v="0.1"/>
    <x v="252"/>
    <n v="220000"/>
    <n v="101120"/>
    <s v="Wave Money"/>
    <s v="Thiri"/>
    <s v="Completed"/>
  </r>
  <r>
    <s v="ORD-00535"/>
    <x v="122"/>
    <s v="CUST-0140"/>
    <s v="Customer 140"/>
    <x v="0"/>
    <s v="Yangon"/>
    <s v="Furniture"/>
    <x v="9"/>
    <x v="1"/>
    <n v="184800"/>
    <n v="0.05"/>
    <x v="8"/>
    <n v="0"/>
    <n v="0"/>
    <s v="KBZ Pay"/>
    <s v="Kyaw Kyaw"/>
    <s v="Cancelled"/>
  </r>
  <r>
    <s v="ORD-00029"/>
    <x v="123"/>
    <s v="CUST-0099"/>
    <s v="Customer 099"/>
    <x v="0"/>
    <s v="Hlaing"/>
    <s v="Furniture"/>
    <x v="6"/>
    <x v="3"/>
    <n v="320000"/>
    <n v="0.02"/>
    <x v="253"/>
    <n v="210000"/>
    <n v="103600"/>
    <s v="KBZ Pay"/>
    <s v="Su Su"/>
    <s v="Completed"/>
  </r>
  <r>
    <s v="ORD-00303"/>
    <x v="123"/>
    <s v="CUST-0243"/>
    <s v="Customer 243"/>
    <x v="0"/>
    <s v="Tamwe"/>
    <s v="Accessories"/>
    <x v="7"/>
    <x v="1"/>
    <n v="34100"/>
    <n v="0"/>
    <x v="8"/>
    <n v="0"/>
    <n v="0"/>
    <s v="KBZ Pay"/>
    <s v="Aung Aung"/>
    <s v="Cancelled"/>
  </r>
  <r>
    <s v="ORD-00258"/>
    <x v="123"/>
    <s v="CUST-0229"/>
    <s v="Customer 229"/>
    <x v="0"/>
    <s v="Tamwe"/>
    <s v="Office Supplies"/>
    <x v="13"/>
    <x v="4"/>
    <n v="41600"/>
    <n v="0.08"/>
    <x v="254"/>
    <n v="78000"/>
    <n v="36816"/>
    <s v="KBZ Pay"/>
    <s v="Su Su"/>
    <s v="Completed"/>
  </r>
  <r>
    <s v="ORD-00462"/>
    <x v="123"/>
    <s v="CUST-0231"/>
    <s v="Customer 231"/>
    <x v="0"/>
    <s v="Hlaing"/>
    <s v="Electronics"/>
    <x v="0"/>
    <x v="0"/>
    <n v="405200"/>
    <n v="0"/>
    <x v="255"/>
    <n v="1500000"/>
    <n v="526000"/>
    <s v="Credit Card"/>
    <s v="Thiri"/>
    <s v="Completed"/>
  </r>
  <r>
    <s v="ORD-00152"/>
    <x v="124"/>
    <s v="CUST-0026"/>
    <s v="Customer 026"/>
    <x v="3"/>
    <s v="Taungoo"/>
    <s v="Electronics"/>
    <x v="3"/>
    <x v="6"/>
    <n v="1203900"/>
    <n v="0"/>
    <x v="256"/>
    <n v="3800000"/>
    <n v="1015600"/>
    <s v="Credit Card"/>
    <s v="Thiri"/>
    <s v="Completed"/>
  </r>
  <r>
    <s v="ORD-00931"/>
    <x v="124"/>
    <s v="CUST-0010"/>
    <s v="Customer 010"/>
    <x v="2"/>
    <s v="Mandalay"/>
    <s v="Office Supplies"/>
    <x v="1"/>
    <x v="6"/>
    <n v="29900"/>
    <n v="0.05"/>
    <x v="257"/>
    <n v="60000"/>
    <n v="53620"/>
    <s v="Cash"/>
    <s v="Kyaw Kyaw"/>
    <s v="Completed"/>
  </r>
  <r>
    <s v="ORD-00165"/>
    <x v="124"/>
    <s v="CUST-0007"/>
    <s v="Customer 007"/>
    <x v="2"/>
    <s v="Amarapura"/>
    <s v="Office Supplies"/>
    <x v="13"/>
    <x v="1"/>
    <n v="43400"/>
    <n v="0.05"/>
    <x v="258"/>
    <n v="52000"/>
    <n v="30460"/>
    <s v="Wave Money"/>
    <s v="May Zin"/>
    <s v="Completed"/>
  </r>
  <r>
    <s v="ORD-00279"/>
    <x v="125"/>
    <s v="CUST-0141"/>
    <s v="Customer 141"/>
    <x v="4"/>
    <s v="Taunggyi"/>
    <s v="Office Supplies"/>
    <x v="1"/>
    <x v="3"/>
    <n v="29500"/>
    <n v="0.02"/>
    <x v="259"/>
    <n v="15000"/>
    <n v="13910"/>
    <s v="Wave Money"/>
    <s v="Min Min"/>
    <s v="Completed"/>
  </r>
  <r>
    <s v="ORD-00938"/>
    <x v="126"/>
    <s v="CUST-0223"/>
    <s v="Customer 223"/>
    <x v="4"/>
    <s v="Lashio"/>
    <s v="Office Supplies"/>
    <x v="4"/>
    <x v="3"/>
    <n v="351200"/>
    <n v="0.02"/>
    <x v="260"/>
    <n v="280000"/>
    <n v="64176"/>
    <s v="Bank Transfer"/>
    <s v="May Zin"/>
    <s v="Completed"/>
  </r>
  <r>
    <s v="ORD-00295"/>
    <x v="126"/>
    <s v="CUST-0178"/>
    <s v="Customer 178"/>
    <x v="1"/>
    <s v="Zabuthiri"/>
    <s v="Furniture"/>
    <x v="9"/>
    <x v="0"/>
    <n v="179900"/>
    <n v="0.02"/>
    <x v="261"/>
    <n v="575000"/>
    <n v="306510"/>
    <s v="Cash"/>
    <s v="Kyaw Kyaw"/>
    <s v="Completed"/>
  </r>
  <r>
    <s v="ORD-00145"/>
    <x v="126"/>
    <s v="CUST-0164"/>
    <s v="Customer 164"/>
    <x v="2"/>
    <s v="Mandalay"/>
    <s v="Electronics"/>
    <x v="5"/>
    <x v="2"/>
    <n v="102400"/>
    <n v="0"/>
    <x v="262"/>
    <n v="-330000"/>
    <n v="-284400"/>
    <s v="Cash"/>
    <s v="Su Su"/>
    <s v="Returned"/>
  </r>
  <r>
    <s v="ORD-00208"/>
    <x v="126"/>
    <s v="CUST-0159"/>
    <s v="Customer 159"/>
    <x v="0"/>
    <s v="Tamwe"/>
    <s v="Office Supplies"/>
    <x v="13"/>
    <x v="4"/>
    <n v="41800"/>
    <n v="0.02"/>
    <x v="263"/>
    <n v="78000"/>
    <n v="44892"/>
    <s v="Bank Transfer"/>
    <s v="Htet Htet"/>
    <s v="Completed"/>
  </r>
  <r>
    <s v="ORD-00039"/>
    <x v="127"/>
    <s v="CUST-0161"/>
    <s v="Customer 161"/>
    <x v="4"/>
    <s v="Lashio"/>
    <s v="Office Supplies"/>
    <x v="4"/>
    <x v="3"/>
    <n v="398900"/>
    <n v="0.08"/>
    <x v="264"/>
    <n v="280000"/>
    <n v="86988"/>
    <s v="Cash"/>
    <s v="Nandar"/>
    <s v="Completed"/>
  </r>
  <r>
    <s v="ORD-00219"/>
    <x v="128"/>
    <s v="CUST-0098"/>
    <s v="Customer 098"/>
    <x v="0"/>
    <s v="Mayangone"/>
    <s v="Office Supplies"/>
    <x v="4"/>
    <x v="5"/>
    <n v="391200"/>
    <n v="0.05"/>
    <x v="8"/>
    <n v="0"/>
    <n v="0"/>
    <s v="Bank Transfer"/>
    <s v="Htet Htet"/>
    <s v="Cancelled"/>
  </r>
  <r>
    <s v="ORD-00028"/>
    <x v="128"/>
    <s v="CUST-0032"/>
    <s v="Customer 032"/>
    <x v="0"/>
    <s v="Mayangone"/>
    <s v="Office Supplies"/>
    <x v="13"/>
    <x v="5"/>
    <n v="47500"/>
    <n v="0.15"/>
    <x v="265"/>
    <n v="182000"/>
    <n v="100625"/>
    <s v="KBZ Pay"/>
    <s v="May Zin"/>
    <s v="Completed"/>
  </r>
  <r>
    <s v="ORD-00090"/>
    <x v="128"/>
    <s v="CUST-0177"/>
    <s v="Customer 177"/>
    <x v="0"/>
    <s v="Tamwe"/>
    <s v="Electronics"/>
    <x v="8"/>
    <x v="6"/>
    <n v="620100"/>
    <n v="0.05"/>
    <x v="8"/>
    <n v="0"/>
    <n v="0"/>
    <s v="Cash"/>
    <s v="Htet Htet"/>
    <s v="Cancelled"/>
  </r>
  <r>
    <s v="ORD-00723"/>
    <x v="129"/>
    <s v="CUST-0186"/>
    <s v="Customer 186"/>
    <x v="4"/>
    <s v="Taunggyi"/>
    <s v="Electronics"/>
    <x v="0"/>
    <x v="6"/>
    <n v="397400"/>
    <n v="0.02"/>
    <x v="266"/>
    <n v="1200000"/>
    <n v="357808"/>
    <s v="Bank Transfer"/>
    <s v="Kyaw Kyaw"/>
    <s v="Completed"/>
  </r>
  <r>
    <s v="ORD-00715"/>
    <x v="130"/>
    <s v="CUST-0187"/>
    <s v="Customer 187"/>
    <x v="0"/>
    <s v="Yangon"/>
    <s v="Office Supplies"/>
    <x v="13"/>
    <x v="5"/>
    <n v="43500"/>
    <n v="0.08"/>
    <x v="267"/>
    <n v="182000"/>
    <n v="98140"/>
    <s v="KBZ Pay"/>
    <s v="Su Su"/>
    <s v="Completed"/>
  </r>
  <r>
    <s v="ORD-00724"/>
    <x v="131"/>
    <s v="CUST-0104"/>
    <s v="Customer 104"/>
    <x v="0"/>
    <s v="Tamwe"/>
    <s v="Electronics"/>
    <x v="5"/>
    <x v="0"/>
    <n v="100600"/>
    <n v="0.05"/>
    <x v="268"/>
    <n v="275000"/>
    <n v="202850"/>
    <s v="Wave Money"/>
    <s v="Kyaw Kyaw"/>
    <s v="Completed"/>
  </r>
  <r>
    <s v="ORD-00079"/>
    <x v="132"/>
    <s v="CUST-0125"/>
    <s v="Customer 125"/>
    <x v="3"/>
    <s v="Pyay"/>
    <s v="Office Supplies"/>
    <x v="13"/>
    <x v="6"/>
    <n v="43700"/>
    <n v="0.05"/>
    <x v="269"/>
    <n v="104000"/>
    <n v="62060"/>
    <s v="Wave Money"/>
    <s v="Kyaw Kyaw"/>
    <s v="Completed"/>
  </r>
  <r>
    <s v="ORD-00700"/>
    <x v="132"/>
    <s v="CUST-0139"/>
    <s v="Customer 139"/>
    <x v="0"/>
    <s v="Hlaing"/>
    <s v="Office Supplies"/>
    <x v="4"/>
    <x v="3"/>
    <n v="383600"/>
    <n v="0.05"/>
    <x v="270"/>
    <n v="280000"/>
    <n v="84420"/>
    <s v="Credit Card"/>
    <s v="Aung Aung"/>
    <s v="Completed"/>
  </r>
  <r>
    <s v="ORD-00788"/>
    <x v="133"/>
    <s v="CUST-0205"/>
    <s v="Customer 205"/>
    <x v="0"/>
    <s v="Yangon"/>
    <s v="Office Supplies"/>
    <x v="4"/>
    <x v="4"/>
    <n v="390600"/>
    <n v="0.05"/>
    <x v="271"/>
    <n v="840000"/>
    <n v="273210"/>
    <s v="KBZ Pay"/>
    <s v="Aung Aung"/>
    <s v="Completed"/>
  </r>
  <r>
    <s v="ORD-00137"/>
    <x v="133"/>
    <s v="CUST-0076"/>
    <s v="Customer 076"/>
    <x v="0"/>
    <s v="Yangon"/>
    <s v="Furniture"/>
    <x v="9"/>
    <x v="3"/>
    <n v="166700"/>
    <n v="0.05"/>
    <x v="272"/>
    <n v="115000"/>
    <n v="43365"/>
    <s v="Cash"/>
    <s v="Aung Aung"/>
    <s v="Completed"/>
  </r>
  <r>
    <s v="ORD-00320"/>
    <x v="134"/>
    <s v="CUST-0204"/>
    <s v="Customer 204"/>
    <x v="0"/>
    <s v="Yangon"/>
    <s v="Electronics"/>
    <x v="5"/>
    <x v="2"/>
    <n v="89200"/>
    <n v="0.15"/>
    <x v="273"/>
    <n v="330000"/>
    <n v="124920"/>
    <s v="Wave Money"/>
    <s v="Nandar"/>
    <s v="Completed"/>
  </r>
  <r>
    <s v="ORD-00962"/>
    <x v="134"/>
    <s v="CUST-0240"/>
    <s v="Customer 240"/>
    <x v="0"/>
    <s v="Hlaing"/>
    <s v="Electronics"/>
    <x v="8"/>
    <x v="5"/>
    <n v="624100"/>
    <n v="0.08"/>
    <x v="274"/>
    <n v="3290000"/>
    <n v="729204"/>
    <s v="Cash"/>
    <s v="Aung Aung"/>
    <s v="Completed"/>
  </r>
  <r>
    <s v="ORD-00558"/>
    <x v="135"/>
    <s v="CUST-0049"/>
    <s v="Customer 049"/>
    <x v="1"/>
    <s v="Zabuthiri"/>
    <s v="Office Supplies"/>
    <x v="13"/>
    <x v="5"/>
    <n v="44400"/>
    <n v="0.08"/>
    <x v="275"/>
    <n v="182000"/>
    <n v="103936"/>
    <s v="KBZ Pay"/>
    <s v="Nandar"/>
    <s v="Completed"/>
  </r>
  <r>
    <s v="ORD-00967"/>
    <x v="136"/>
    <s v="CUST-0242"/>
    <s v="Customer 242"/>
    <x v="1"/>
    <s v="Zabuthiri"/>
    <s v="Office Supplies"/>
    <x v="13"/>
    <x v="6"/>
    <n v="48300"/>
    <n v="0.05"/>
    <x v="276"/>
    <n v="104000"/>
    <n v="79540"/>
    <s v="Wave Money"/>
    <s v="Kyaw Kyaw"/>
    <s v="Completed"/>
  </r>
  <r>
    <s v="ORD-00497"/>
    <x v="136"/>
    <s v="CUST-0227"/>
    <s v="Customer 227"/>
    <x v="0"/>
    <s v="Tamwe"/>
    <s v="Furniture"/>
    <x v="6"/>
    <x v="3"/>
    <n v="294600"/>
    <n v="0.08"/>
    <x v="277"/>
    <n v="210000"/>
    <n v="61032"/>
    <s v="Cash"/>
    <s v="Nandar"/>
    <s v="Completed"/>
  </r>
  <r>
    <s v="ORD-00463"/>
    <x v="136"/>
    <s v="CUST-0011"/>
    <s v="Customer 011"/>
    <x v="0"/>
    <s v="Tamwe"/>
    <s v="Electronics"/>
    <x v="8"/>
    <x v="6"/>
    <n v="676200"/>
    <n v="0.1"/>
    <x v="278"/>
    <n v="1880000"/>
    <n v="554320"/>
    <s v="KBZ Pay"/>
    <s v="Htet Htet"/>
    <s v="Completed"/>
  </r>
  <r>
    <s v="ORD-00417"/>
    <x v="137"/>
    <s v="CUST-0146"/>
    <s v="Customer 146"/>
    <x v="1"/>
    <s v="Zabuthiri"/>
    <s v="Office Supplies"/>
    <x v="13"/>
    <x v="0"/>
    <n v="44500"/>
    <n v="0.02"/>
    <x v="279"/>
    <n v="-130000"/>
    <n v="-88050"/>
    <s v="KBZ Pay"/>
    <s v="May Zin"/>
    <s v="Returned"/>
  </r>
  <r>
    <s v="ORD-00835"/>
    <x v="138"/>
    <s v="CUST-0115"/>
    <s v="Customer 115"/>
    <x v="0"/>
    <s v="Yangon"/>
    <s v="Accessories"/>
    <x v="10"/>
    <x v="2"/>
    <n v="90100"/>
    <n v="0.1"/>
    <x v="280"/>
    <n v="348000"/>
    <n v="138540"/>
    <s v="Cash"/>
    <s v="Htet Htet"/>
    <s v="Completed"/>
  </r>
  <r>
    <s v="ORD-00289"/>
    <x v="138"/>
    <s v="CUST-0126"/>
    <s v="Customer 126"/>
    <x v="3"/>
    <s v="Taungoo"/>
    <s v="Electronics"/>
    <x v="0"/>
    <x v="0"/>
    <n v="409400"/>
    <n v="0.08"/>
    <x v="281"/>
    <n v="1500000"/>
    <n v="383240"/>
    <s v="Cash"/>
    <s v="Htet Htet"/>
    <s v="Completed"/>
  </r>
  <r>
    <s v="ORD-00281"/>
    <x v="138"/>
    <s v="CUST-0094"/>
    <s v="Customer 094"/>
    <x v="0"/>
    <s v="Yangon"/>
    <s v="Accessories"/>
    <x v="7"/>
    <x v="3"/>
    <n v="30900"/>
    <n v="0"/>
    <x v="282"/>
    <n v="18000"/>
    <n v="12900"/>
    <s v="Cash"/>
    <s v="Aung Aung"/>
    <s v="Completed"/>
  </r>
  <r>
    <s v="ORD-00721"/>
    <x v="139"/>
    <s v="CUST-0188"/>
    <s v="Customer 188"/>
    <x v="0"/>
    <s v="Tamwe"/>
    <s v="Furniture"/>
    <x v="2"/>
    <x v="3"/>
    <n v="549400"/>
    <n v="0.08"/>
    <x v="283"/>
    <n v="-365000"/>
    <n v="-140448"/>
    <s v="Cash"/>
    <s v="May Zin"/>
    <s v="Returned"/>
  </r>
  <r>
    <s v="ORD-00885"/>
    <x v="139"/>
    <s v="CUST-0078"/>
    <s v="Customer 078"/>
    <x v="0"/>
    <s v="Tamwe"/>
    <s v="Electronics"/>
    <x v="0"/>
    <x v="6"/>
    <n v="410900"/>
    <n v="0.05"/>
    <x v="284"/>
    <n v="1200000"/>
    <n v="361420"/>
    <s v="KBZ Pay"/>
    <s v="Min Min"/>
    <s v="Completed"/>
  </r>
  <r>
    <s v="ORD-00342"/>
    <x v="140"/>
    <s v="CUST-0118"/>
    <s v="Customer 118"/>
    <x v="2"/>
    <s v="Chanmyathazi"/>
    <s v="Electronics"/>
    <x v="3"/>
    <x v="0"/>
    <n v="1330700"/>
    <n v="0"/>
    <x v="285"/>
    <n v="4750000"/>
    <n v="1903500"/>
    <s v="Cash"/>
    <s v="Thiri"/>
    <s v="Completed"/>
  </r>
  <r>
    <s v="ORD-00280"/>
    <x v="140"/>
    <s v="CUST-0217"/>
    <s v="Customer 217"/>
    <x v="0"/>
    <s v="Mayangone"/>
    <s v="Accessories"/>
    <x v="7"/>
    <x v="3"/>
    <n v="33000"/>
    <n v="0.05"/>
    <x v="286"/>
    <n v="18000"/>
    <n v="13350"/>
    <s v="Wave Money"/>
    <s v="Nandar"/>
    <s v="Completed"/>
  </r>
  <r>
    <s v="ORD-00790"/>
    <x v="141"/>
    <s v="CUST-0176"/>
    <s v="Customer 176"/>
    <x v="2"/>
    <s v="Chanmyathazi"/>
    <s v="Electronics"/>
    <x v="5"/>
    <x v="4"/>
    <n v="91800"/>
    <n v="0.05"/>
    <x v="287"/>
    <n v="165000"/>
    <n v="96630"/>
    <s v="Bank Transfer"/>
    <s v="Kyaw Kyaw"/>
    <s v="Completed"/>
  </r>
  <r>
    <s v="ORD-00038"/>
    <x v="142"/>
    <s v="CUST-0241"/>
    <s v="Customer 241"/>
    <x v="0"/>
    <s v="Hlaing"/>
    <s v="Accessories"/>
    <x v="10"/>
    <x v="3"/>
    <n v="90600"/>
    <n v="0.08"/>
    <x v="288"/>
    <n v="58000"/>
    <n v="25352"/>
    <s v="KBZ Pay"/>
    <s v="Htet Htet"/>
    <s v="Completed"/>
  </r>
  <r>
    <s v="ORD-00049"/>
    <x v="143"/>
    <s v="CUST-0148"/>
    <s v="Customer 148"/>
    <x v="1"/>
    <s v="Zabuthiri"/>
    <s v="Accessories"/>
    <x v="14"/>
    <x v="2"/>
    <n v="74900"/>
    <n v="0"/>
    <x v="289"/>
    <n v="258000"/>
    <n v="191400"/>
    <s v="KBZ Pay"/>
    <s v="Htet Htet"/>
    <s v="Completed"/>
  </r>
  <r>
    <s v="ORD-00490"/>
    <x v="144"/>
    <s v="CUST-0082"/>
    <s v="Customer 082"/>
    <x v="0"/>
    <s v="Hlaing"/>
    <s v="Accessories"/>
    <x v="12"/>
    <x v="5"/>
    <n v="86800"/>
    <n v="0.08"/>
    <x v="290"/>
    <n v="364000"/>
    <n v="194992"/>
    <s v="Wave Money"/>
    <s v="Min Min"/>
    <s v="Completed"/>
  </r>
  <r>
    <s v="ORD-00064"/>
    <x v="144"/>
    <s v="CUST-0155"/>
    <s v="Customer 155"/>
    <x v="2"/>
    <s v="Chanmyathazi"/>
    <s v="Electronics"/>
    <x v="5"/>
    <x v="6"/>
    <n v="90200"/>
    <n v="0.02"/>
    <x v="291"/>
    <n v="-220000"/>
    <n v="-133584"/>
    <s v="Wave Money"/>
    <s v="Thiri"/>
    <s v="Returned"/>
  </r>
  <r>
    <s v="ORD-00902"/>
    <x v="145"/>
    <s v="CUST-0168"/>
    <s v="Customer 168"/>
    <x v="0"/>
    <s v="Tamwe"/>
    <s v="Furniture"/>
    <x v="6"/>
    <x v="3"/>
    <n v="286700"/>
    <n v="0.08"/>
    <x v="292"/>
    <n v="210000"/>
    <n v="53764"/>
    <s v="Cash"/>
    <s v="Nandar"/>
    <s v="Completed"/>
  </r>
  <r>
    <s v="ORD-00457"/>
    <x v="146"/>
    <s v="CUST-0035"/>
    <s v="Customer 035"/>
    <x v="0"/>
    <s v="Yangon"/>
    <s v="Office Supplies"/>
    <x v="13"/>
    <x v="1"/>
    <n v="42900"/>
    <n v="0"/>
    <x v="293"/>
    <n v="52000"/>
    <n v="33800"/>
    <s v="Bank Transfer"/>
    <s v="Nandar"/>
    <s v="Completed"/>
  </r>
  <r>
    <s v="ORD-00288"/>
    <x v="146"/>
    <s v="CUST-0170"/>
    <s v="Customer 170"/>
    <x v="0"/>
    <s v="Yangon"/>
    <s v="Electronics"/>
    <x v="5"/>
    <x v="5"/>
    <n v="90700"/>
    <n v="0"/>
    <x v="294"/>
    <n v="385000"/>
    <n v="249900"/>
    <s v="Bank Transfer"/>
    <s v="Min Min"/>
    <s v="Completed"/>
  </r>
  <r>
    <s v="ORD-00384"/>
    <x v="146"/>
    <s v="CUST-0053"/>
    <s v="Customer 053"/>
    <x v="2"/>
    <s v="Chanmyathazi"/>
    <s v="Office Supplies"/>
    <x v="11"/>
    <x v="5"/>
    <n v="256600"/>
    <n v="0.08"/>
    <x v="295"/>
    <n v="1155000"/>
    <n v="497504"/>
    <s v="Credit Card"/>
    <s v="Kyaw Kyaw"/>
    <s v="Completed"/>
  </r>
  <r>
    <s v="ORD-00271"/>
    <x v="146"/>
    <s v="CUST-0158"/>
    <s v="Customer 158"/>
    <x v="1"/>
    <s v="Pyinmana"/>
    <s v="Accessories"/>
    <x v="14"/>
    <x v="1"/>
    <n v="70300"/>
    <n v="0.02"/>
    <x v="296"/>
    <n v="86000"/>
    <n v="51788"/>
    <s v="Credit Card"/>
    <s v="May Zin"/>
    <s v="Completed"/>
  </r>
  <r>
    <s v="ORD-00495"/>
    <x v="147"/>
    <s v="CUST-0071"/>
    <s v="Customer 071"/>
    <x v="0"/>
    <s v="Hlaing"/>
    <s v="Electronics"/>
    <x v="8"/>
    <x v="5"/>
    <n v="676200"/>
    <n v="0.08"/>
    <x v="297"/>
    <n v="-3290000"/>
    <n v="-1064728"/>
    <s v="Wave Money"/>
    <s v="Aung Aung"/>
    <s v="Returned"/>
  </r>
  <r>
    <s v="ORD-00432"/>
    <x v="147"/>
    <s v="CUST-0096"/>
    <s v="Customer 096"/>
    <x v="1"/>
    <s v="Pyinmana"/>
    <s v="Office Supplies"/>
    <x v="13"/>
    <x v="4"/>
    <n v="44400"/>
    <n v="0.05"/>
    <x v="298"/>
    <n v="78000"/>
    <n v="48540"/>
    <s v="Cash"/>
    <s v="Nandar"/>
    <s v="Completed"/>
  </r>
  <r>
    <s v="ORD-00310"/>
    <x v="147"/>
    <s v="CUST-0023"/>
    <s v="Customer 023"/>
    <x v="1"/>
    <s v="Naypyidaw"/>
    <s v="Furniture"/>
    <x v="9"/>
    <x v="6"/>
    <n v="170000"/>
    <n v="0.1"/>
    <x v="299"/>
    <n v="460000"/>
    <n v="152000"/>
    <s v="Credit Card"/>
    <s v="Thiri"/>
    <s v="Completed"/>
  </r>
  <r>
    <s v="ORD-00796"/>
    <x v="147"/>
    <s v="CUST-0233"/>
    <s v="Customer 233"/>
    <x v="4"/>
    <s v="Lashio"/>
    <s v="Electronics"/>
    <x v="8"/>
    <x v="1"/>
    <n v="665100"/>
    <n v="0.02"/>
    <x v="300"/>
    <n v="940000"/>
    <n v="363596"/>
    <s v="Bank Transfer"/>
    <s v="May Zin"/>
    <s v="Completed"/>
  </r>
  <r>
    <s v="ORD-00528"/>
    <x v="147"/>
    <s v="CUST-0134"/>
    <s v="Customer 134"/>
    <x v="1"/>
    <s v="Naypyidaw"/>
    <s v="Electronics"/>
    <x v="8"/>
    <x v="2"/>
    <n v="668100"/>
    <n v="0.05"/>
    <x v="301"/>
    <n v="2820000"/>
    <n v="988170"/>
    <s v="Credit Card"/>
    <s v="Nandar"/>
    <s v="Completed"/>
  </r>
  <r>
    <s v="ORD-00520"/>
    <x v="148"/>
    <s v="CUST-0242"/>
    <s v="Customer 242"/>
    <x v="1"/>
    <s v="Pyinmana"/>
    <s v="Office Supplies"/>
    <x v="11"/>
    <x v="3"/>
    <n v="241000"/>
    <n v="0.08"/>
    <x v="302"/>
    <n v="165000"/>
    <n v="56720"/>
    <s v="Wave Money"/>
    <s v="Su Su"/>
    <s v="Completed"/>
  </r>
  <r>
    <s v="ORD-00496"/>
    <x v="148"/>
    <s v="CUST-0208"/>
    <s v="Customer 208"/>
    <x v="0"/>
    <s v="Hlaing"/>
    <s v="Electronics"/>
    <x v="0"/>
    <x v="4"/>
    <n v="397700"/>
    <n v="0"/>
    <x v="303"/>
    <n v="900000"/>
    <n v="293100"/>
    <s v="Wave Money"/>
    <s v="Kyaw Kyaw"/>
    <s v="Completed"/>
  </r>
  <r>
    <s v="ORD-00491"/>
    <x v="149"/>
    <s v="CUST-0015"/>
    <s v="Customer 015"/>
    <x v="1"/>
    <s v="Zabuthiri"/>
    <s v="Office Supplies"/>
    <x v="1"/>
    <x v="2"/>
    <n v="26600"/>
    <n v="0.08"/>
    <x v="304"/>
    <n v="-90000"/>
    <n v="-56832"/>
    <s v="Credit Card"/>
    <s v="Aung Aung"/>
    <s v="Returned"/>
  </r>
  <r>
    <s v="ORD-00636"/>
    <x v="149"/>
    <s v="CUST-0250"/>
    <s v="Customer 250"/>
    <x v="1"/>
    <s v="Pyinmana"/>
    <s v="Electronics"/>
    <x v="0"/>
    <x v="1"/>
    <n v="432100"/>
    <n v="0.08"/>
    <x v="305"/>
    <n v="600000"/>
    <n v="195064"/>
    <s v="Wave Money"/>
    <s v="Kyaw Kyaw"/>
    <s v="Completed"/>
  </r>
  <r>
    <s v="ORD-00033"/>
    <x v="150"/>
    <s v="CUST-0145"/>
    <s v="Customer 145"/>
    <x v="3"/>
    <s v="Taungoo"/>
    <s v="Office Supplies"/>
    <x v="1"/>
    <x v="6"/>
    <n v="26400"/>
    <n v="0.15"/>
    <x v="306"/>
    <n v="60000"/>
    <n v="29760"/>
    <s v="Wave Money"/>
    <s v="Nandar"/>
    <s v="Completed"/>
  </r>
  <r>
    <s v="ORD-00951"/>
    <x v="150"/>
    <s v="CUST-0087"/>
    <s v="Customer 087"/>
    <x v="0"/>
    <s v="Tamwe"/>
    <s v="Accessories"/>
    <x v="10"/>
    <x v="6"/>
    <n v="82900"/>
    <n v="0"/>
    <x v="307"/>
    <n v="232000"/>
    <n v="99600"/>
    <s v="Cash"/>
    <s v="Thiri"/>
    <s v="Completed"/>
  </r>
  <r>
    <s v="ORD-00464"/>
    <x v="150"/>
    <s v="CUST-0055"/>
    <s v="Customer 055"/>
    <x v="0"/>
    <s v="Yangon"/>
    <s v="Electronics"/>
    <x v="8"/>
    <x v="6"/>
    <n v="695300"/>
    <n v="0.05"/>
    <x v="308"/>
    <n v="1880000"/>
    <n v="762140"/>
    <s v="Bank Transfer"/>
    <s v="Min Min"/>
    <s v="Completed"/>
  </r>
  <r>
    <s v="ORD-00580"/>
    <x v="150"/>
    <s v="CUST-0058"/>
    <s v="Customer 058"/>
    <x v="2"/>
    <s v="Mandalay"/>
    <s v="Furniture"/>
    <x v="2"/>
    <x v="5"/>
    <n v="519700"/>
    <n v="0"/>
    <x v="309"/>
    <n v="2555000"/>
    <n v="1082900"/>
    <s v="Bank Transfer"/>
    <s v="Min Min"/>
    <s v="Completed"/>
  </r>
  <r>
    <s v="ORD-00553"/>
    <x v="151"/>
    <s v="CUST-0181"/>
    <s v="Customer 181"/>
    <x v="4"/>
    <s v="Lashio"/>
    <s v="Furniture"/>
    <x v="9"/>
    <x v="0"/>
    <n v="185100"/>
    <n v="0.02"/>
    <x v="310"/>
    <n v="-575000"/>
    <n v="-331990"/>
    <s v="Credit Card"/>
    <s v="Aung Aung"/>
    <s v="Returned"/>
  </r>
  <r>
    <s v="ORD-00081"/>
    <x v="152"/>
    <s v="CUST-0164"/>
    <s v="Customer 164"/>
    <x v="4"/>
    <s v="Muse"/>
    <s v="Furniture"/>
    <x v="9"/>
    <x v="6"/>
    <n v="188500"/>
    <n v="0.05"/>
    <x v="311"/>
    <n v="460000"/>
    <n v="256300"/>
    <s v="Wave Money"/>
    <s v="Thiri"/>
    <s v="Completed"/>
  </r>
  <r>
    <s v="ORD-00638"/>
    <x v="152"/>
    <s v="CUST-0137"/>
    <s v="Customer 137"/>
    <x v="2"/>
    <s v="Mandalay"/>
    <s v="Furniture"/>
    <x v="2"/>
    <x v="1"/>
    <n v="556300"/>
    <n v="0.08"/>
    <x v="312"/>
    <n v="730000"/>
    <n v="293592"/>
    <s v="Bank Transfer"/>
    <s v="Thiri"/>
    <s v="Completed"/>
  </r>
  <r>
    <s v="ORD-00601"/>
    <x v="153"/>
    <s v="CUST-0249"/>
    <s v="Customer 249"/>
    <x v="0"/>
    <s v="Yangon"/>
    <s v="Electronics"/>
    <x v="8"/>
    <x v="5"/>
    <n v="600600"/>
    <n v="0.08"/>
    <x v="313"/>
    <n v="3290000"/>
    <n v="577864"/>
    <s v="KBZ Pay"/>
    <s v="Thiri"/>
    <s v="Completed"/>
  </r>
  <r>
    <s v="ORD-00746"/>
    <x v="153"/>
    <s v="CUST-0052"/>
    <s v="Customer 052"/>
    <x v="0"/>
    <s v="Hlaing"/>
    <s v="Office Supplies"/>
    <x v="13"/>
    <x v="2"/>
    <n v="44400"/>
    <n v="0.05"/>
    <x v="314"/>
    <n v="156000"/>
    <n v="97080"/>
    <s v="Cash"/>
    <s v="Kyaw Kyaw"/>
    <s v="Completed"/>
  </r>
  <r>
    <s v="ORD-00351"/>
    <x v="153"/>
    <s v="CUST-0232"/>
    <s v="Customer 232"/>
    <x v="2"/>
    <s v="Chanmyathazi"/>
    <s v="Furniture"/>
    <x v="6"/>
    <x v="0"/>
    <n v="309200"/>
    <n v="0"/>
    <x v="315"/>
    <n v="1050000"/>
    <n v="496000"/>
    <s v="Cash"/>
    <s v="Su Su"/>
    <s v="Completed"/>
  </r>
  <r>
    <s v="ORD-00577"/>
    <x v="154"/>
    <s v="CUST-0204"/>
    <s v="Customer 204"/>
    <x v="4"/>
    <s v="Muse"/>
    <s v="Office Supplies"/>
    <x v="13"/>
    <x v="6"/>
    <n v="46400"/>
    <n v="0.1"/>
    <x v="316"/>
    <n v="104000"/>
    <n v="63040"/>
    <s v="Credit Card"/>
    <s v="Su Su"/>
    <s v="Completed"/>
  </r>
  <r>
    <s v="ORD-00019"/>
    <x v="155"/>
    <s v="CUST-0148"/>
    <s v="Customer 148"/>
    <x v="0"/>
    <s v="Hlaing"/>
    <s v="Furniture"/>
    <x v="2"/>
    <x v="6"/>
    <n v="505500"/>
    <n v="0.02"/>
    <x v="317"/>
    <n v="1460000"/>
    <n v="521560"/>
    <s v="Wave Money"/>
    <s v="Nandar"/>
    <s v="Completed"/>
  </r>
  <r>
    <s v="ORD-00010"/>
    <x v="155"/>
    <s v="CUST-0035"/>
    <s v="Customer 035"/>
    <x v="1"/>
    <s v="Zabuthiri"/>
    <s v="Electronics"/>
    <x v="0"/>
    <x v="5"/>
    <n v="431300"/>
    <n v="0.08"/>
    <x v="318"/>
    <n v="2100000"/>
    <n v="677572"/>
    <s v="Wave Money"/>
    <s v="Aung Aung"/>
    <s v="Completed"/>
  </r>
  <r>
    <s v="ORD-00241"/>
    <x v="155"/>
    <s v="CUST-0147"/>
    <s v="Customer 147"/>
    <x v="4"/>
    <s v="Muse"/>
    <s v="Furniture"/>
    <x v="6"/>
    <x v="0"/>
    <n v="319600"/>
    <n v="0"/>
    <x v="319"/>
    <n v="-1050000"/>
    <n v="-548000"/>
    <s v="Cash"/>
    <s v="Su Su"/>
    <s v="Returned"/>
  </r>
  <r>
    <s v="ORD-00169"/>
    <x v="156"/>
    <s v="CUST-0161"/>
    <s v="Customer 161"/>
    <x v="3"/>
    <s v="Pyay"/>
    <s v="Office Supplies"/>
    <x v="4"/>
    <x v="5"/>
    <n v="385300"/>
    <n v="0"/>
    <x v="320"/>
    <n v="1960000"/>
    <n v="737100"/>
    <s v="KBZ Pay"/>
    <s v="May Zin"/>
    <s v="Completed"/>
  </r>
  <r>
    <s v="ORD-00256"/>
    <x v="156"/>
    <s v="CUST-0136"/>
    <s v="Customer 136"/>
    <x v="1"/>
    <s v="Pyinmana"/>
    <s v="Electronics"/>
    <x v="0"/>
    <x v="4"/>
    <n v="413900"/>
    <n v="0.02"/>
    <x v="321"/>
    <n v="900000"/>
    <n v="316866"/>
    <s v="Bank Transfer"/>
    <s v="Su Su"/>
    <s v="Completed"/>
  </r>
  <r>
    <s v="ORD-00649"/>
    <x v="156"/>
    <s v="CUST-0250"/>
    <s v="Customer 250"/>
    <x v="3"/>
    <s v="Pyay"/>
    <s v="Electronics"/>
    <x v="8"/>
    <x v="0"/>
    <n v="645900"/>
    <n v="0.02"/>
    <x v="322"/>
    <n v="2350000"/>
    <n v="814910"/>
    <s v="Wave Money"/>
    <s v="Nandar"/>
    <s v="Completed"/>
  </r>
  <r>
    <s v="ORD-00217"/>
    <x v="157"/>
    <s v="CUST-0058"/>
    <s v="Customer 058"/>
    <x v="4"/>
    <s v="Muse"/>
    <s v="Accessories"/>
    <x v="7"/>
    <x v="1"/>
    <n v="33700"/>
    <n v="0.08"/>
    <x v="323"/>
    <n v="36000"/>
    <n v="26008"/>
    <s v="Bank Transfer"/>
    <s v="Thiri"/>
    <s v="Completed"/>
  </r>
  <r>
    <s v="ORD-00693"/>
    <x v="158"/>
    <s v="CUST-0180"/>
    <s v="Customer 180"/>
    <x v="0"/>
    <s v="Tamwe"/>
    <s v="Office Supplies"/>
    <x v="4"/>
    <x v="4"/>
    <n v="374300"/>
    <n v="0.15"/>
    <x v="324"/>
    <n v="840000"/>
    <n v="114465"/>
    <s v="KBZ Pay"/>
    <s v="Nandar"/>
    <s v="Completed"/>
  </r>
  <r>
    <s v="ORD-00348"/>
    <x v="159"/>
    <s v="CUST-0026"/>
    <s v="Customer 026"/>
    <x v="1"/>
    <s v="Naypyidaw"/>
    <s v="Electronics"/>
    <x v="3"/>
    <x v="5"/>
    <n v="1178600"/>
    <n v="0.08"/>
    <x v="325"/>
    <n v="6650000"/>
    <n v="940184"/>
    <s v="Bank Transfer"/>
    <s v="Aung Aung"/>
    <s v="Completed"/>
  </r>
  <r>
    <s v="ORD-00676"/>
    <x v="159"/>
    <s v="CUST-0201"/>
    <s v="Customer 201"/>
    <x v="2"/>
    <s v="Mandalay"/>
    <s v="Electronics"/>
    <x v="8"/>
    <x v="4"/>
    <n v="651000"/>
    <n v="0.05"/>
    <x v="326"/>
    <n v="1410000"/>
    <n v="445350"/>
    <s v="KBZ Pay"/>
    <s v="Aung Aung"/>
    <s v="Completed"/>
  </r>
  <r>
    <s v="ORD-00354"/>
    <x v="160"/>
    <s v="CUST-0158"/>
    <s v="Customer 158"/>
    <x v="0"/>
    <s v="Tamwe"/>
    <s v="Furniture"/>
    <x v="2"/>
    <x v="6"/>
    <n v="538500"/>
    <n v="0.08"/>
    <x v="327"/>
    <n v="1460000"/>
    <n v="521680"/>
    <s v="Wave Money"/>
    <s v="Min Min"/>
    <s v="Completed"/>
  </r>
  <r>
    <s v="ORD-00776"/>
    <x v="161"/>
    <s v="CUST-0062"/>
    <s v="Customer 062"/>
    <x v="0"/>
    <s v="Mayangone"/>
    <s v="Electronics"/>
    <x v="3"/>
    <x v="3"/>
    <n v="1316600"/>
    <n v="0.1"/>
    <x v="328"/>
    <n v="950000"/>
    <n v="234940"/>
    <s v="Wave Money"/>
    <s v="Aung Aung"/>
    <s v="Completed"/>
  </r>
  <r>
    <s v="ORD-00235"/>
    <x v="161"/>
    <s v="CUST-0245"/>
    <s v="Customer 245"/>
    <x v="0"/>
    <s v="Yangon"/>
    <s v="Accessories"/>
    <x v="14"/>
    <x v="5"/>
    <n v="71000"/>
    <n v="0.02"/>
    <x v="329"/>
    <n v="301000"/>
    <n v="186060"/>
    <s v="Credit Card"/>
    <s v="Nandar"/>
    <s v="Completed"/>
  </r>
  <r>
    <s v="ORD-00998"/>
    <x v="161"/>
    <s v="CUST-0070"/>
    <s v="Customer 070"/>
    <x v="1"/>
    <s v="Naypyidaw"/>
    <s v="Office Supplies"/>
    <x v="4"/>
    <x v="3"/>
    <n v="372000"/>
    <n v="0.08"/>
    <x v="330"/>
    <n v="280000"/>
    <n v="62240"/>
    <s v="KBZ Pay"/>
    <s v="Kyaw Kyaw"/>
    <s v="Completed"/>
  </r>
  <r>
    <s v="ORD-00502"/>
    <x v="162"/>
    <s v="CUST-0122"/>
    <s v="Customer 122"/>
    <x v="2"/>
    <s v="Mandalay"/>
    <s v="Office Supplies"/>
    <x v="4"/>
    <x v="6"/>
    <n v="375300"/>
    <n v="0.08"/>
    <x v="331"/>
    <n v="1120000"/>
    <n v="261104"/>
    <s v="KBZ Pay"/>
    <s v="Nandar"/>
    <s v="Completed"/>
  </r>
  <r>
    <s v="ORD-00767"/>
    <x v="163"/>
    <s v="CUST-0088"/>
    <s v="Customer 088"/>
    <x v="1"/>
    <s v="Pyinmana"/>
    <s v="Office Supplies"/>
    <x v="11"/>
    <x v="4"/>
    <n v="244800"/>
    <n v="0"/>
    <x v="332"/>
    <n v="495000"/>
    <n v="239400"/>
    <s v="KBZ Pay"/>
    <s v="Thiri"/>
    <s v="Completed"/>
  </r>
  <r>
    <s v="ORD-00368"/>
    <x v="164"/>
    <s v="CUST-0050"/>
    <s v="Customer 050"/>
    <x v="3"/>
    <s v="Pyay"/>
    <s v="Accessories"/>
    <x v="14"/>
    <x v="6"/>
    <n v="75300"/>
    <n v="0"/>
    <x v="8"/>
    <n v="0"/>
    <n v="0"/>
    <s v="Credit Card"/>
    <s v="Htet Htet"/>
    <s v="Cancelled"/>
  </r>
  <r>
    <s v="ORD-00691"/>
    <x v="165"/>
    <s v="CUST-0108"/>
    <s v="Customer 108"/>
    <x v="0"/>
    <s v="Mayangone"/>
    <s v="Furniture"/>
    <x v="9"/>
    <x v="3"/>
    <n v="192900"/>
    <n v="0.05"/>
    <x v="333"/>
    <n v="115000"/>
    <n v="68255"/>
    <s v="Bank Transfer"/>
    <s v="Min Min"/>
    <s v="Completed"/>
  </r>
  <r>
    <s v="ORD-00189"/>
    <x v="166"/>
    <s v="CUST-0183"/>
    <s v="Customer 183"/>
    <x v="0"/>
    <s v="Yangon"/>
    <s v="Accessories"/>
    <x v="10"/>
    <x v="3"/>
    <n v="84400"/>
    <n v="0.05"/>
    <x v="334"/>
    <n v="58000"/>
    <n v="22180"/>
    <s v="Credit Card"/>
    <s v="Thiri"/>
    <s v="Completed"/>
  </r>
  <r>
    <s v="ORD-00820"/>
    <x v="166"/>
    <s v="CUST-0154"/>
    <s v="Customer 154"/>
    <x v="1"/>
    <s v="Naypyidaw"/>
    <s v="Electronics"/>
    <x v="3"/>
    <x v="0"/>
    <n v="1214500"/>
    <n v="0.15"/>
    <x v="8"/>
    <n v="0"/>
    <n v="0"/>
    <s v="Credit Card"/>
    <s v="Su Su"/>
    <s v="Cancelled"/>
  </r>
  <r>
    <s v="ORD-00741"/>
    <x v="166"/>
    <s v="CUST-0077"/>
    <s v="Customer 077"/>
    <x v="3"/>
    <s v="Pyay"/>
    <s v="Electronics"/>
    <x v="3"/>
    <x v="6"/>
    <n v="1279800"/>
    <n v="0.08"/>
    <x v="335"/>
    <n v="3800000"/>
    <n v="909664"/>
    <s v="KBZ Pay"/>
    <s v="May Zin"/>
    <s v="Completed"/>
  </r>
  <r>
    <s v="ORD-00423"/>
    <x v="167"/>
    <s v="CUST-0016"/>
    <s v="Customer 016"/>
    <x v="4"/>
    <s v="Muse"/>
    <s v="Electronics"/>
    <x v="8"/>
    <x v="1"/>
    <n v="694400"/>
    <n v="0.05"/>
    <x v="336"/>
    <n v="940000"/>
    <n v="379360"/>
    <s v="Wave Money"/>
    <s v="Aung Aung"/>
    <s v="Completed"/>
  </r>
  <r>
    <s v="ORD-00263"/>
    <x v="167"/>
    <s v="CUST-0064"/>
    <s v="Customer 064"/>
    <x v="2"/>
    <s v="Amarapura"/>
    <s v="Office Supplies"/>
    <x v="1"/>
    <x v="0"/>
    <n v="26400"/>
    <n v="0.1"/>
    <x v="337"/>
    <n v="75000"/>
    <n v="43800"/>
    <s v="Wave Money"/>
    <s v="Min Min"/>
    <s v="Completed"/>
  </r>
  <r>
    <s v="ORD-00154"/>
    <x v="168"/>
    <s v="CUST-0151"/>
    <s v="Customer 151"/>
    <x v="1"/>
    <s v="Zabuthiri"/>
    <s v="Accessories"/>
    <x v="12"/>
    <x v="0"/>
    <n v="90000"/>
    <n v="0.05"/>
    <x v="338"/>
    <n v="260000"/>
    <n v="167500"/>
    <s v="KBZ Pay"/>
    <s v="Htet Htet"/>
    <s v="Completed"/>
  </r>
  <r>
    <s v="ORD-00707"/>
    <x v="168"/>
    <s v="CUST-0088"/>
    <s v="Customer 088"/>
    <x v="3"/>
    <s v="Pyay"/>
    <s v="Accessories"/>
    <x v="12"/>
    <x v="3"/>
    <n v="81600"/>
    <n v="0"/>
    <x v="339"/>
    <n v="52000"/>
    <n v="29600"/>
    <s v="Cash"/>
    <s v="Aung Aung"/>
    <s v="Completed"/>
  </r>
  <r>
    <s v="ORD-00921"/>
    <x v="169"/>
    <s v="CUST-0129"/>
    <s v="Customer 129"/>
    <x v="2"/>
    <s v="Chanmyathazi"/>
    <s v="Electronics"/>
    <x v="5"/>
    <x v="3"/>
    <n v="89800"/>
    <n v="0.02"/>
    <x v="340"/>
    <n v="55000"/>
    <n v="33004"/>
    <s v="Bank Transfer"/>
    <s v="Su Su"/>
    <s v="Completed"/>
  </r>
  <r>
    <s v="ORD-00008"/>
    <x v="169"/>
    <s v="CUST-0236"/>
    <s v="Customer 236"/>
    <x v="0"/>
    <s v="Mayangone"/>
    <s v="Electronics"/>
    <x v="3"/>
    <x v="5"/>
    <n v="1183100"/>
    <n v="0"/>
    <x v="341"/>
    <n v="6650000"/>
    <n v="1631700"/>
    <s v="Cash"/>
    <s v="Nandar"/>
    <s v="Completed"/>
  </r>
  <r>
    <s v="ORD-00363"/>
    <x v="169"/>
    <s v="CUST-0225"/>
    <s v="Customer 225"/>
    <x v="4"/>
    <s v="Muse"/>
    <s v="Office Supplies"/>
    <x v="1"/>
    <x v="0"/>
    <n v="27700"/>
    <n v="0.08"/>
    <x v="342"/>
    <n v="75000"/>
    <n v="52420"/>
    <s v="Wave Money"/>
    <s v="Kyaw Kyaw"/>
    <s v="Completed"/>
  </r>
  <r>
    <s v="ORD-00382"/>
    <x v="170"/>
    <s v="CUST-0227"/>
    <s v="Customer 227"/>
    <x v="0"/>
    <s v="Hlaing"/>
    <s v="Office Supplies"/>
    <x v="4"/>
    <x v="5"/>
    <n v="383600"/>
    <n v="0.08"/>
    <x v="343"/>
    <n v="1960000"/>
    <n v="510384"/>
    <s v="Cash"/>
    <s v="Nandar"/>
    <s v="Completed"/>
  </r>
  <r>
    <s v="ORD-00037"/>
    <x v="170"/>
    <s v="CUST-0100"/>
    <s v="Customer 100"/>
    <x v="3"/>
    <s v="Bago"/>
    <s v="Office Supplies"/>
    <x v="4"/>
    <x v="2"/>
    <n v="376000"/>
    <n v="0.02"/>
    <x v="344"/>
    <n v="1680000"/>
    <n v="530880"/>
    <s v="Bank Transfer"/>
    <s v="Su Su"/>
    <s v="Completed"/>
  </r>
  <r>
    <s v="ORD-00604"/>
    <x v="171"/>
    <s v="CUST-0073"/>
    <s v="Customer 073"/>
    <x v="1"/>
    <s v="Naypyidaw"/>
    <s v="Furniture"/>
    <x v="2"/>
    <x v="1"/>
    <n v="507700"/>
    <n v="0"/>
    <x v="345"/>
    <n v="730000"/>
    <n v="285400"/>
    <s v="Cash"/>
    <s v="Thiri"/>
    <s v="Completed"/>
  </r>
  <r>
    <s v="ORD-00923"/>
    <x v="171"/>
    <s v="CUST-0246"/>
    <s v="Customer 246"/>
    <x v="2"/>
    <s v="Chanmyathazi"/>
    <s v="Office Supplies"/>
    <x v="11"/>
    <x v="1"/>
    <n v="251500"/>
    <n v="0.02"/>
    <x v="346"/>
    <n v="330000"/>
    <n v="162940"/>
    <s v="Wave Money"/>
    <s v="May Zin"/>
    <s v="Completed"/>
  </r>
  <r>
    <s v="ORD-00357"/>
    <x v="171"/>
    <s v="CUST-0245"/>
    <s v="Customer 245"/>
    <x v="0"/>
    <s v="Hlaing"/>
    <s v="Accessories"/>
    <x v="14"/>
    <x v="5"/>
    <n v="76200"/>
    <n v="0.08"/>
    <x v="347"/>
    <n v="-301000"/>
    <n v="-189728"/>
    <s v="Bank Transfer"/>
    <s v="Kyaw Kyaw"/>
    <s v="Returned"/>
  </r>
  <r>
    <s v="ORD-00215"/>
    <x v="171"/>
    <s v="CUST-0228"/>
    <s v="Customer 228"/>
    <x v="3"/>
    <s v="Taungoo"/>
    <s v="Electronics"/>
    <x v="8"/>
    <x v="5"/>
    <n v="644800"/>
    <n v="0.08"/>
    <x v="348"/>
    <n v="3290000"/>
    <n v="862512"/>
    <s v="Bank Transfer"/>
    <s v="Nandar"/>
    <s v="Completed"/>
  </r>
  <r>
    <s v="ORD-00671"/>
    <x v="172"/>
    <s v="CUST-0246"/>
    <s v="Customer 246"/>
    <x v="4"/>
    <s v="Lashio"/>
    <s v="Accessories"/>
    <x v="12"/>
    <x v="0"/>
    <n v="85700"/>
    <n v="0.05"/>
    <x v="349"/>
    <n v="260000"/>
    <n v="147075"/>
    <s v="Bank Transfer"/>
    <s v="Htet Htet"/>
    <s v="Completed"/>
  </r>
  <r>
    <s v="ORD-00866"/>
    <x v="172"/>
    <s v="CUST-0235"/>
    <s v="Customer 235"/>
    <x v="4"/>
    <s v="Muse"/>
    <s v="Electronics"/>
    <x v="0"/>
    <x v="6"/>
    <n v="413900"/>
    <n v="0.08"/>
    <x v="350"/>
    <n v="1200000"/>
    <n v="323152"/>
    <s v="Credit Card"/>
    <s v="Su Su"/>
    <s v="Completed"/>
  </r>
  <r>
    <s v="ORD-00460"/>
    <x v="173"/>
    <s v="CUST-0134"/>
    <s v="Customer 134"/>
    <x v="0"/>
    <s v="Hlaing"/>
    <s v="Electronics"/>
    <x v="0"/>
    <x v="0"/>
    <n v="394800"/>
    <n v="0.1"/>
    <x v="8"/>
    <n v="0"/>
    <n v="0"/>
    <s v="Bank Transfer"/>
    <s v="Kyaw Kyaw"/>
    <s v="Cancelled"/>
  </r>
  <r>
    <s v="ORD-00046"/>
    <x v="174"/>
    <s v="CUST-0145"/>
    <s v="Customer 145"/>
    <x v="0"/>
    <s v="Tamwe"/>
    <s v="Accessories"/>
    <x v="14"/>
    <x v="4"/>
    <n v="70400"/>
    <n v="0"/>
    <x v="351"/>
    <n v="129000"/>
    <n v="82200"/>
    <s v="Credit Card"/>
    <s v="Thiri"/>
    <s v="Completed"/>
  </r>
  <r>
    <s v="ORD-00297"/>
    <x v="174"/>
    <s v="CUST-0077"/>
    <s v="Customer 077"/>
    <x v="0"/>
    <s v="Hlaing"/>
    <s v="Accessories"/>
    <x v="10"/>
    <x v="6"/>
    <n v="95700"/>
    <n v="0.08"/>
    <x v="352"/>
    <n v="232000"/>
    <n v="120176"/>
    <s v="Wave Money"/>
    <s v="Su Su"/>
    <s v="Completed"/>
  </r>
  <r>
    <s v="ORD-00434"/>
    <x v="175"/>
    <s v="CUST-0154"/>
    <s v="Customer 154"/>
    <x v="2"/>
    <s v="Mandalay"/>
    <s v="Furniture"/>
    <x v="6"/>
    <x v="1"/>
    <n v="324500"/>
    <n v="0.05"/>
    <x v="353"/>
    <n v="420000"/>
    <n v="196550"/>
    <s v="Wave Money"/>
    <s v="Min Min"/>
    <s v="Completed"/>
  </r>
  <r>
    <s v="ORD-00075"/>
    <x v="175"/>
    <s v="CUST-0003"/>
    <s v="Customer 003"/>
    <x v="1"/>
    <s v="Pyinmana"/>
    <s v="Furniture"/>
    <x v="9"/>
    <x v="2"/>
    <n v="182300"/>
    <n v="0"/>
    <x v="354"/>
    <n v="690000"/>
    <n v="403800"/>
    <s v="Wave Money"/>
    <s v="Aung Aung"/>
    <s v="Completed"/>
  </r>
  <r>
    <s v="ORD-00469"/>
    <x v="176"/>
    <s v="CUST-0217"/>
    <s v="Customer 217"/>
    <x v="0"/>
    <s v="Mayangone"/>
    <s v="Office Supplies"/>
    <x v="11"/>
    <x v="3"/>
    <n v="233500"/>
    <n v="0.05"/>
    <x v="355"/>
    <n v="165000"/>
    <n v="56825"/>
    <s v="Cash"/>
    <s v="Su Su"/>
    <s v="Completed"/>
  </r>
  <r>
    <s v="ORD-00206"/>
    <x v="177"/>
    <s v="CUST-0173"/>
    <s v="Customer 173"/>
    <x v="0"/>
    <s v="Hlaing"/>
    <s v="Office Supplies"/>
    <x v="11"/>
    <x v="5"/>
    <n v="220900"/>
    <n v="0.05"/>
    <x v="356"/>
    <n v="1155000"/>
    <n v="313985"/>
    <s v="Cash"/>
    <s v="Htet Htet"/>
    <s v="Completed"/>
  </r>
  <r>
    <s v="ORD-00389"/>
    <x v="178"/>
    <s v="CUST-0096"/>
    <s v="Customer 096"/>
    <x v="2"/>
    <s v="Mandalay"/>
    <s v="Furniture"/>
    <x v="2"/>
    <x v="1"/>
    <n v="541700"/>
    <n v="0.05"/>
    <x v="357"/>
    <n v="730000"/>
    <n v="299230"/>
    <s v="Bank Transfer"/>
    <s v="Su Su"/>
    <s v="Completed"/>
  </r>
  <r>
    <s v="ORD-00760"/>
    <x v="178"/>
    <s v="CUST-0054"/>
    <s v="Customer 054"/>
    <x v="3"/>
    <s v="Taungoo"/>
    <s v="Furniture"/>
    <x v="2"/>
    <x v="3"/>
    <n v="558900"/>
    <n v="0.02"/>
    <x v="8"/>
    <n v="0"/>
    <n v="0"/>
    <s v="KBZ Pay"/>
    <s v="Htet Htet"/>
    <s v="Cancelled"/>
  </r>
  <r>
    <s v="ORD-00783"/>
    <x v="179"/>
    <s v="CUST-0220"/>
    <s v="Customer 220"/>
    <x v="1"/>
    <s v="Zabuthiri"/>
    <s v="Office Supplies"/>
    <x v="13"/>
    <x v="3"/>
    <n v="43700"/>
    <n v="0.1"/>
    <x v="358"/>
    <n v="26000"/>
    <n v="13330"/>
    <s v="Cash"/>
    <s v="Thiri"/>
    <s v="Completed"/>
  </r>
  <r>
    <s v="ORD-00047"/>
    <x v="179"/>
    <s v="CUST-0136"/>
    <s v="Customer 136"/>
    <x v="0"/>
    <s v="Yangon"/>
    <s v="Electronics"/>
    <x v="3"/>
    <x v="1"/>
    <n v="1328400"/>
    <n v="0"/>
    <x v="359"/>
    <n v="1900000"/>
    <n v="756800"/>
    <s v="Wave Money"/>
    <s v="Nandar"/>
    <s v="Completed"/>
  </r>
  <r>
    <s v="ORD-00618"/>
    <x v="180"/>
    <s v="CUST-0020"/>
    <s v="Customer 020"/>
    <x v="0"/>
    <s v="Hlaing"/>
    <s v="Accessories"/>
    <x v="12"/>
    <x v="2"/>
    <n v="80600"/>
    <n v="0"/>
    <x v="360"/>
    <n v="312000"/>
    <n v="171600"/>
    <s v="KBZ Pay"/>
    <s v="Su Su"/>
    <s v="Completed"/>
  </r>
  <r>
    <s v="ORD-00564"/>
    <x v="180"/>
    <s v="CUST-0231"/>
    <s v="Customer 231"/>
    <x v="4"/>
    <s v="Lashio"/>
    <s v="Electronics"/>
    <x v="0"/>
    <x v="6"/>
    <n v="433800"/>
    <n v="0.05"/>
    <x v="361"/>
    <n v="1200000"/>
    <n v="448440"/>
    <s v="Cash"/>
    <s v="Kyaw Kyaw"/>
    <s v="Completed"/>
  </r>
  <r>
    <s v="ORD-00393"/>
    <x v="181"/>
    <s v="CUST-0168"/>
    <s v="Customer 168"/>
    <x v="0"/>
    <s v="Tamwe"/>
    <s v="Furniture"/>
    <x v="2"/>
    <x v="5"/>
    <n v="542700"/>
    <n v="0.02"/>
    <x v="362"/>
    <n v="2555000"/>
    <n v="1167922"/>
    <s v="Bank Transfer"/>
    <s v="May Zin"/>
    <s v="Completed"/>
  </r>
  <r>
    <s v="ORD-00907"/>
    <x v="181"/>
    <s v="CUST-0009"/>
    <s v="Customer 009"/>
    <x v="1"/>
    <s v="Zabuthiri"/>
    <s v="Electronics"/>
    <x v="3"/>
    <x v="1"/>
    <n v="1280700"/>
    <n v="0.15"/>
    <x v="363"/>
    <n v="1900000"/>
    <n v="277190"/>
    <s v="Bank Transfer"/>
    <s v="Nandar"/>
    <s v="Completed"/>
  </r>
  <r>
    <s v="ORD-00794"/>
    <x v="181"/>
    <s v="CUST-0184"/>
    <s v="Customer 184"/>
    <x v="2"/>
    <s v="Amarapura"/>
    <s v="Furniture"/>
    <x v="2"/>
    <x v="0"/>
    <n v="509000"/>
    <n v="0"/>
    <x v="364"/>
    <n v="1825000"/>
    <n v="720000"/>
    <s v="KBZ Pay"/>
    <s v="May Zin"/>
    <s v="Completed"/>
  </r>
  <r>
    <s v="ORD-00632"/>
    <x v="182"/>
    <s v="CUST-0035"/>
    <s v="Customer 035"/>
    <x v="0"/>
    <s v="Tamwe"/>
    <s v="Electronics"/>
    <x v="0"/>
    <x v="6"/>
    <n v="413700"/>
    <n v="0.1"/>
    <x v="365"/>
    <n v="1200000"/>
    <n v="289320"/>
    <s v="KBZ Pay"/>
    <s v="Kyaw Kyaw"/>
    <s v="Completed"/>
  </r>
  <r>
    <s v="ORD-00677"/>
    <x v="182"/>
    <s v="CUST-0206"/>
    <s v="Customer 206"/>
    <x v="2"/>
    <s v="Amarapura"/>
    <s v="Electronics"/>
    <x v="3"/>
    <x v="3"/>
    <n v="1293400"/>
    <n v="0.05"/>
    <x v="366"/>
    <n v="950000"/>
    <n v="278730"/>
    <s v="KBZ Pay"/>
    <s v="May Zin"/>
    <s v="Completed"/>
  </r>
  <r>
    <s v="ORD-00993"/>
    <x v="182"/>
    <s v="CUST-0161"/>
    <s v="Customer 161"/>
    <x v="1"/>
    <s v="Zabuthiri"/>
    <s v="Office Supplies"/>
    <x v="11"/>
    <x v="1"/>
    <n v="244900"/>
    <n v="0.08"/>
    <x v="8"/>
    <n v="0"/>
    <n v="0"/>
    <s v="KBZ Pay"/>
    <s v="Thiri"/>
    <s v="Cancelled"/>
  </r>
  <r>
    <s v="ORD-00022"/>
    <x v="182"/>
    <s v="CUST-0227"/>
    <s v="Customer 227"/>
    <x v="0"/>
    <s v="Mayangone"/>
    <s v="Furniture"/>
    <x v="9"/>
    <x v="3"/>
    <n v="184100"/>
    <n v="0"/>
    <x v="367"/>
    <n v="115000"/>
    <n v="69100"/>
    <s v="Credit Card"/>
    <s v="Nandar"/>
    <s v="Completed"/>
  </r>
  <r>
    <s v="ORD-00375"/>
    <x v="183"/>
    <s v="CUST-0119"/>
    <s v="Customer 119"/>
    <x v="1"/>
    <s v="Pyinmana"/>
    <s v="Accessories"/>
    <x v="10"/>
    <x v="5"/>
    <n v="95000"/>
    <n v="0"/>
    <x v="368"/>
    <n v="406000"/>
    <n v="259000"/>
    <s v="Bank Transfer"/>
    <s v="Htet Htet"/>
    <s v="Completed"/>
  </r>
  <r>
    <s v="ORD-00924"/>
    <x v="183"/>
    <s v="CUST-0143"/>
    <s v="Customer 143"/>
    <x v="0"/>
    <s v="Yangon"/>
    <s v="Office Supplies"/>
    <x v="4"/>
    <x v="2"/>
    <n v="398800"/>
    <n v="0.05"/>
    <x v="369"/>
    <n v="-1680000"/>
    <n v="-593160"/>
    <s v="Wave Money"/>
    <s v="Min Min"/>
    <s v="Returned"/>
  </r>
  <r>
    <s v="ORD-00904"/>
    <x v="183"/>
    <s v="CUST-0127"/>
    <s v="Customer 127"/>
    <x v="0"/>
    <s v="Hlaing"/>
    <s v="Electronics"/>
    <x v="8"/>
    <x v="2"/>
    <n v="623200"/>
    <n v="0.02"/>
    <x v="370"/>
    <n v="-2820000"/>
    <n v="-844416"/>
    <s v="Cash"/>
    <s v="Min Min"/>
    <s v="Returned"/>
  </r>
  <r>
    <s v="ORD-00895"/>
    <x v="184"/>
    <s v="CUST-0213"/>
    <s v="Customer 213"/>
    <x v="4"/>
    <s v="Taunggyi"/>
    <s v="Electronics"/>
    <x v="3"/>
    <x v="3"/>
    <n v="1312500"/>
    <n v="0"/>
    <x v="371"/>
    <n v="950000"/>
    <n v="362500"/>
    <s v="Bank Transfer"/>
    <s v="Htet Htet"/>
    <s v="Completed"/>
  </r>
  <r>
    <s v="ORD-00345"/>
    <x v="184"/>
    <s v="CUST-0011"/>
    <s v="Customer 011"/>
    <x v="1"/>
    <s v="Pyinmana"/>
    <s v="Electronics"/>
    <x v="8"/>
    <x v="5"/>
    <n v="609000"/>
    <n v="0.02"/>
    <x v="372"/>
    <n v="3290000"/>
    <n v="887740"/>
    <s v="Credit Card"/>
    <s v="Kyaw Kyaw"/>
    <s v="Completed"/>
  </r>
  <r>
    <s v="ORD-00286"/>
    <x v="184"/>
    <s v="CUST-0165"/>
    <s v="Customer 165"/>
    <x v="0"/>
    <s v="Yangon"/>
    <s v="Furniture"/>
    <x v="9"/>
    <x v="1"/>
    <n v="181300"/>
    <n v="0"/>
    <x v="373"/>
    <n v="230000"/>
    <n v="132600"/>
    <s v="Bank Transfer"/>
    <s v="Kyaw Kyaw"/>
    <s v="Completed"/>
  </r>
  <r>
    <s v="ORD-00578"/>
    <x v="184"/>
    <s v="CUST-0135"/>
    <s v="Customer 135"/>
    <x v="0"/>
    <s v="Tamwe"/>
    <s v="Electronics"/>
    <x v="5"/>
    <x v="0"/>
    <n v="88200"/>
    <n v="0"/>
    <x v="374"/>
    <n v="275000"/>
    <n v="166000"/>
    <s v="Cash"/>
    <s v="Aung Aung"/>
    <s v="Completed"/>
  </r>
  <r>
    <s v="ORD-00599"/>
    <x v="185"/>
    <s v="CUST-0120"/>
    <s v="Customer 120"/>
    <x v="0"/>
    <s v="Yangon"/>
    <s v="Electronics"/>
    <x v="0"/>
    <x v="3"/>
    <n v="387200"/>
    <n v="0"/>
    <x v="375"/>
    <n v="300000"/>
    <n v="87200"/>
    <s v="Bank Transfer"/>
    <s v="Nandar"/>
    <s v="Completed"/>
  </r>
  <r>
    <s v="ORD-00477"/>
    <x v="185"/>
    <s v="CUST-0107"/>
    <s v="Customer 107"/>
    <x v="1"/>
    <s v="Zabuthiri"/>
    <s v="Accessories"/>
    <x v="10"/>
    <x v="0"/>
    <n v="97100"/>
    <n v="0"/>
    <x v="376"/>
    <n v="290000"/>
    <n v="195500"/>
    <s v="Wave Money"/>
    <s v="May Zin"/>
    <s v="Completed"/>
  </r>
  <r>
    <s v="ORD-00405"/>
    <x v="186"/>
    <s v="CUST-0108"/>
    <s v="Customer 108"/>
    <x v="2"/>
    <s v="Mandalay"/>
    <s v="Electronics"/>
    <x v="5"/>
    <x v="1"/>
    <n v="98600"/>
    <n v="0"/>
    <x v="377"/>
    <n v="110000"/>
    <n v="87200"/>
    <s v="Credit Card"/>
    <s v="Htet Htet"/>
    <s v="Completed"/>
  </r>
  <r>
    <s v="ORD-00415"/>
    <x v="186"/>
    <s v="CUST-0115"/>
    <s v="Customer 115"/>
    <x v="1"/>
    <s v="Pyinmana"/>
    <s v="Electronics"/>
    <x v="5"/>
    <x v="5"/>
    <n v="98500"/>
    <n v="0.15"/>
    <x v="378"/>
    <n v="385000"/>
    <n v="201075"/>
    <s v="Credit Card"/>
    <s v="May Zin"/>
    <s v="Completed"/>
  </r>
  <r>
    <s v="ORD-00551"/>
    <x v="186"/>
    <s v="CUST-0106"/>
    <s v="Customer 106"/>
    <x v="2"/>
    <s v="Chanmyathazi"/>
    <s v="Electronics"/>
    <x v="0"/>
    <x v="4"/>
    <n v="400100"/>
    <n v="0.08"/>
    <x v="379"/>
    <n v="900000"/>
    <n v="204276"/>
    <s v="Bank Transfer"/>
    <s v="Aung Aung"/>
    <s v="Completed"/>
  </r>
  <r>
    <s v="ORD-00147"/>
    <x v="186"/>
    <s v="CUST-0014"/>
    <s v="Customer 014"/>
    <x v="2"/>
    <s v="Mandalay"/>
    <s v="Furniture"/>
    <x v="2"/>
    <x v="1"/>
    <n v="538000"/>
    <n v="0.1"/>
    <x v="380"/>
    <n v="730000"/>
    <n v="238400"/>
    <s v="Credit Card"/>
    <s v="Kyaw Kyaw"/>
    <s v="Completed"/>
  </r>
  <r>
    <s v="ORD-00390"/>
    <x v="187"/>
    <s v="CUST-0180"/>
    <s v="Customer 180"/>
    <x v="3"/>
    <s v="Bago"/>
    <s v="Furniture"/>
    <x v="9"/>
    <x v="0"/>
    <n v="166900"/>
    <n v="0.05"/>
    <x v="381"/>
    <n v="575000"/>
    <n v="217775"/>
    <s v="Cash"/>
    <s v="Su Su"/>
    <s v="Completed"/>
  </r>
  <r>
    <s v="ORD-00095"/>
    <x v="188"/>
    <s v="CUST-0144"/>
    <s v="Customer 144"/>
    <x v="2"/>
    <s v="Chanmyathazi"/>
    <s v="Furniture"/>
    <x v="2"/>
    <x v="1"/>
    <n v="545400"/>
    <n v="0.15"/>
    <x v="382"/>
    <n v="730000"/>
    <n v="197180"/>
    <s v="Wave Money"/>
    <s v="Htet Htet"/>
    <s v="Completed"/>
  </r>
  <r>
    <s v="ORD-00720"/>
    <x v="188"/>
    <s v="CUST-0088"/>
    <s v="Customer 088"/>
    <x v="2"/>
    <s v="Amarapura"/>
    <s v="Electronics"/>
    <x v="8"/>
    <x v="6"/>
    <n v="667100"/>
    <n v="0.08"/>
    <x v="383"/>
    <n v="1880000"/>
    <n v="574928"/>
    <s v="Bank Transfer"/>
    <s v="Su Su"/>
    <s v="Completed"/>
  </r>
  <r>
    <s v="ORD-00114"/>
    <x v="188"/>
    <s v="CUST-0068"/>
    <s v="Customer 068"/>
    <x v="0"/>
    <s v="Hlaing"/>
    <s v="Office Supplies"/>
    <x v="1"/>
    <x v="6"/>
    <n v="29100"/>
    <n v="0.02"/>
    <x v="384"/>
    <n v="60000"/>
    <n v="54072"/>
    <s v="KBZ Pay"/>
    <s v="Su Su"/>
    <s v="Completed"/>
  </r>
  <r>
    <s v="ORD-00954"/>
    <x v="189"/>
    <s v="CUST-0023"/>
    <s v="Customer 023"/>
    <x v="1"/>
    <s v="Naypyidaw"/>
    <s v="Electronics"/>
    <x v="3"/>
    <x v="3"/>
    <n v="1315600"/>
    <n v="0"/>
    <x v="385"/>
    <n v="950000"/>
    <n v="365600"/>
    <s v="Cash"/>
    <s v="Kyaw Kyaw"/>
    <s v="Completed"/>
  </r>
  <r>
    <s v="ORD-00278"/>
    <x v="189"/>
    <s v="CUST-0172"/>
    <s v="Customer 172"/>
    <x v="2"/>
    <s v="Amarapura"/>
    <s v="Furniture"/>
    <x v="9"/>
    <x v="2"/>
    <n v="191400"/>
    <n v="0.05"/>
    <x v="386"/>
    <n v="690000"/>
    <n v="400980"/>
    <s v="Bank Transfer"/>
    <s v="Aung Aung"/>
    <s v="Completed"/>
  </r>
  <r>
    <s v="ORD-00977"/>
    <x v="190"/>
    <s v="CUST-0232"/>
    <s v="Customer 232"/>
    <x v="3"/>
    <s v="Pyay"/>
    <s v="Office Supplies"/>
    <x v="11"/>
    <x v="1"/>
    <n v="228400"/>
    <n v="0.15"/>
    <x v="387"/>
    <n v="330000"/>
    <n v="58280"/>
    <s v="Wave Money"/>
    <s v="May Zin"/>
    <s v="Completed"/>
  </r>
  <r>
    <s v="ORD-00222"/>
    <x v="191"/>
    <s v="CUST-0079"/>
    <s v="Customer 079"/>
    <x v="3"/>
    <s v="Pyay"/>
    <s v="Accessories"/>
    <x v="12"/>
    <x v="5"/>
    <n v="88500"/>
    <n v="0.08"/>
    <x v="388"/>
    <n v="364000"/>
    <n v="205940"/>
    <s v="Bank Transfer"/>
    <s v="Kyaw Kyaw"/>
    <s v="Completed"/>
  </r>
  <r>
    <s v="ORD-00073"/>
    <x v="191"/>
    <s v="CUST-0094"/>
    <s v="Customer 094"/>
    <x v="0"/>
    <s v="Yangon"/>
    <s v="Accessories"/>
    <x v="14"/>
    <x v="2"/>
    <n v="73800"/>
    <n v="0.15"/>
    <x v="389"/>
    <n v="-258000"/>
    <n v="-118380"/>
    <s v="Cash"/>
    <s v="Nandar"/>
    <s v="Returned"/>
  </r>
  <r>
    <s v="ORD-00448"/>
    <x v="191"/>
    <s v="CUST-0109"/>
    <s v="Customer 109"/>
    <x v="2"/>
    <s v="Amarapura"/>
    <s v="Electronics"/>
    <x v="0"/>
    <x v="0"/>
    <n v="431700"/>
    <n v="0.08"/>
    <x v="390"/>
    <n v="1500000"/>
    <n v="485820"/>
    <s v="Bank Transfer"/>
    <s v="Kyaw Kyaw"/>
    <s v="Completed"/>
  </r>
  <r>
    <s v="ORD-00004"/>
    <x v="192"/>
    <s v="CUST-0250"/>
    <s v="Customer 250"/>
    <x v="2"/>
    <s v="Chanmyathazi"/>
    <s v="Accessories"/>
    <x v="14"/>
    <x v="0"/>
    <n v="74400"/>
    <n v="0"/>
    <x v="391"/>
    <n v="-215000"/>
    <n v="-157000"/>
    <s v="KBZ Pay"/>
    <s v="Aung Aung"/>
    <s v="Returned"/>
  </r>
  <r>
    <s v="ORD-00884"/>
    <x v="192"/>
    <s v="CUST-0058"/>
    <s v="Customer 058"/>
    <x v="0"/>
    <s v="Mayangone"/>
    <s v="Accessories"/>
    <x v="10"/>
    <x v="3"/>
    <n v="96900"/>
    <n v="0.05"/>
    <x v="392"/>
    <n v="58000"/>
    <n v="34055"/>
    <s v="Wave Money"/>
    <s v="Htet Htet"/>
    <s v="Completed"/>
  </r>
  <r>
    <s v="ORD-00906"/>
    <x v="193"/>
    <s v="CUST-0148"/>
    <s v="Customer 148"/>
    <x v="0"/>
    <s v="Tamwe"/>
    <s v="Electronics"/>
    <x v="0"/>
    <x v="4"/>
    <n v="387400"/>
    <n v="0.02"/>
    <x v="393"/>
    <n v="900000"/>
    <n v="238956"/>
    <s v="Credit Card"/>
    <s v="Thiri"/>
    <s v="Completed"/>
  </r>
  <r>
    <s v="ORD-00745"/>
    <x v="194"/>
    <s v="CUST-0062"/>
    <s v="Customer 062"/>
    <x v="0"/>
    <s v="Tamwe"/>
    <s v="Accessories"/>
    <x v="12"/>
    <x v="5"/>
    <n v="83900"/>
    <n v="0.08"/>
    <x v="394"/>
    <n v="-364000"/>
    <n v="-176316"/>
    <s v="Bank Transfer"/>
    <s v="May Zin"/>
    <s v="Returned"/>
  </r>
  <r>
    <s v="ORD-01000"/>
    <x v="194"/>
    <s v="CUST-0187"/>
    <s v="Customer 187"/>
    <x v="3"/>
    <s v="Pyay"/>
    <s v="Electronics"/>
    <x v="0"/>
    <x v="5"/>
    <n v="400000"/>
    <n v="0"/>
    <x v="395"/>
    <n v="2100000"/>
    <n v="700000"/>
    <s v="Credit Card"/>
    <s v="Htet Htet"/>
    <s v="Completed"/>
  </r>
  <r>
    <s v="ORD-00346"/>
    <x v="195"/>
    <s v="CUST-0190"/>
    <s v="Customer 190"/>
    <x v="0"/>
    <s v="Tamwe"/>
    <s v="Electronics"/>
    <x v="0"/>
    <x v="2"/>
    <n v="450900"/>
    <n v="0.05"/>
    <x v="396"/>
    <n v="1800000"/>
    <n v="770130"/>
    <s v="Cash"/>
    <s v="Aung Aung"/>
    <s v="Completed"/>
  </r>
  <r>
    <s v="ORD-00974"/>
    <x v="195"/>
    <s v="CUST-0136"/>
    <s v="Customer 136"/>
    <x v="1"/>
    <s v="Pyinmana"/>
    <s v="Electronics"/>
    <x v="5"/>
    <x v="3"/>
    <n v="96900"/>
    <n v="0.05"/>
    <x v="392"/>
    <n v="55000"/>
    <n v="37055"/>
    <s v="Wave Money"/>
    <s v="May Zin"/>
    <s v="Completed"/>
  </r>
  <r>
    <s v="ORD-00559"/>
    <x v="195"/>
    <s v="CUST-0080"/>
    <s v="Customer 080"/>
    <x v="3"/>
    <s v="Pyay"/>
    <s v="Office Supplies"/>
    <x v="11"/>
    <x v="4"/>
    <n v="240600"/>
    <n v="0.1"/>
    <x v="397"/>
    <n v="495000"/>
    <n v="154620"/>
    <s v="KBZ Pay"/>
    <s v="Aung Aung"/>
    <s v="Completed"/>
  </r>
  <r>
    <s v="ORD-00333"/>
    <x v="196"/>
    <s v="CUST-0047"/>
    <s v="Customer 047"/>
    <x v="0"/>
    <s v="Tamwe"/>
    <s v="Office Supplies"/>
    <x v="13"/>
    <x v="1"/>
    <n v="46500"/>
    <n v="0"/>
    <x v="398"/>
    <n v="52000"/>
    <n v="41000"/>
    <s v="Credit Card"/>
    <s v="Nandar"/>
    <s v="Completed"/>
  </r>
  <r>
    <s v="ORD-00801"/>
    <x v="196"/>
    <s v="CUST-0096"/>
    <s v="Customer 096"/>
    <x v="4"/>
    <s v="Muse"/>
    <s v="Accessories"/>
    <x v="14"/>
    <x v="5"/>
    <n v="73800"/>
    <n v="0.02"/>
    <x v="399"/>
    <n v="301000"/>
    <n v="205268"/>
    <s v="KBZ Pay"/>
    <s v="Nandar"/>
    <s v="Completed"/>
  </r>
  <r>
    <s v="ORD-00856"/>
    <x v="197"/>
    <s v="CUST-0048"/>
    <s v="Customer 048"/>
    <x v="1"/>
    <s v="Naypyidaw"/>
    <s v="Furniture"/>
    <x v="9"/>
    <x v="4"/>
    <n v="168400"/>
    <n v="0.1"/>
    <x v="400"/>
    <n v="345000"/>
    <n v="109680"/>
    <s v="Credit Card"/>
    <s v="Htet Htet"/>
    <s v="Completed"/>
  </r>
  <r>
    <s v="ORD-00876"/>
    <x v="197"/>
    <s v="CUST-0124"/>
    <s v="Customer 124"/>
    <x v="0"/>
    <s v="Yangon"/>
    <s v="Accessories"/>
    <x v="10"/>
    <x v="6"/>
    <n v="84900"/>
    <n v="0.02"/>
    <x v="401"/>
    <n v="-232000"/>
    <n v="-100808"/>
    <s v="KBZ Pay"/>
    <s v="Su Su"/>
    <s v="Returned"/>
  </r>
  <r>
    <s v="ORD-00839"/>
    <x v="198"/>
    <s v="CUST-0164"/>
    <s v="Customer 164"/>
    <x v="1"/>
    <s v="Pyinmana"/>
    <s v="Office Supplies"/>
    <x v="1"/>
    <x v="0"/>
    <n v="28500"/>
    <n v="0.1"/>
    <x v="402"/>
    <n v="75000"/>
    <n v="53250"/>
    <s v="Bank Transfer"/>
    <s v="Aung Aung"/>
    <s v="Completed"/>
  </r>
  <r>
    <s v="ORD-00710"/>
    <x v="199"/>
    <s v="CUST-0015"/>
    <s v="Customer 015"/>
    <x v="0"/>
    <s v="Mayangone"/>
    <s v="Furniture"/>
    <x v="2"/>
    <x v="4"/>
    <n v="528500"/>
    <n v="0.08"/>
    <x v="403"/>
    <n v="1095000"/>
    <n v="363660"/>
    <s v="Wave Money"/>
    <s v="Thiri"/>
    <s v="Completed"/>
  </r>
  <r>
    <s v="ORD-00621"/>
    <x v="199"/>
    <s v="CUST-0055"/>
    <s v="Customer 055"/>
    <x v="0"/>
    <s v="Hlaing"/>
    <s v="Office Supplies"/>
    <x v="1"/>
    <x v="2"/>
    <n v="28100"/>
    <n v="0.08"/>
    <x v="404"/>
    <n v="-90000"/>
    <n v="-65112"/>
    <s v="Wave Money"/>
    <s v="May Zin"/>
    <s v="Returned"/>
  </r>
  <r>
    <s v="ORD-00871"/>
    <x v="199"/>
    <s v="CUST-0133"/>
    <s v="Customer 133"/>
    <x v="4"/>
    <s v="Lashio"/>
    <s v="Office Supplies"/>
    <x v="11"/>
    <x v="1"/>
    <n v="236800"/>
    <n v="0.05"/>
    <x v="405"/>
    <n v="330000"/>
    <n v="119920"/>
    <s v="Cash"/>
    <s v="Su Su"/>
    <s v="Completed"/>
  </r>
  <r>
    <s v="ORD-00550"/>
    <x v="200"/>
    <s v="CUST-0240"/>
    <s v="Customer 240"/>
    <x v="1"/>
    <s v="Naypyidaw"/>
    <s v="Office Supplies"/>
    <x v="11"/>
    <x v="4"/>
    <n v="247500"/>
    <n v="0.15"/>
    <x v="8"/>
    <n v="0"/>
    <n v="0"/>
    <s v="Bank Transfer"/>
    <s v="Thiri"/>
    <s v="Cancelled"/>
  </r>
  <r>
    <s v="ORD-00200"/>
    <x v="201"/>
    <s v="CUST-0027"/>
    <s v="Customer 027"/>
    <x v="2"/>
    <s v="Chanmyathazi"/>
    <s v="Electronics"/>
    <x v="5"/>
    <x v="0"/>
    <n v="98500"/>
    <n v="0"/>
    <x v="406"/>
    <n v="275000"/>
    <n v="217500"/>
    <s v="Credit Card"/>
    <s v="Su Su"/>
    <s v="Completed"/>
  </r>
  <r>
    <s v="ORD-00098"/>
    <x v="201"/>
    <s v="CUST-0238"/>
    <s v="Customer 238"/>
    <x v="2"/>
    <s v="Amarapura"/>
    <s v="Accessories"/>
    <x v="14"/>
    <x v="6"/>
    <n v="80700"/>
    <n v="0.08"/>
    <x v="407"/>
    <n v="172000"/>
    <n v="124976"/>
    <s v="Wave Money"/>
    <s v="May Zin"/>
    <s v="Completed"/>
  </r>
  <r>
    <s v="ORD-00307"/>
    <x v="201"/>
    <s v="CUST-0040"/>
    <s v="Customer 040"/>
    <x v="2"/>
    <s v="Chanmyathazi"/>
    <s v="Office Supplies"/>
    <x v="11"/>
    <x v="1"/>
    <n v="253000"/>
    <n v="0"/>
    <x v="408"/>
    <n v="330000"/>
    <n v="176000"/>
    <s v="KBZ Pay"/>
    <s v="Thiri"/>
    <s v="Completed"/>
  </r>
  <r>
    <s v="ORD-00779"/>
    <x v="202"/>
    <s v="CUST-0177"/>
    <s v="Customer 177"/>
    <x v="4"/>
    <s v="Taunggyi"/>
    <s v="Office Supplies"/>
    <x v="13"/>
    <x v="0"/>
    <n v="42400"/>
    <n v="0.05"/>
    <x v="409"/>
    <n v="130000"/>
    <n v="71400"/>
    <s v="Cash"/>
    <s v="Nandar"/>
    <s v="Completed"/>
  </r>
  <r>
    <s v="ORD-00756"/>
    <x v="202"/>
    <s v="CUST-0072"/>
    <s v="Customer 072"/>
    <x v="2"/>
    <s v="Mandalay"/>
    <s v="Accessories"/>
    <x v="12"/>
    <x v="5"/>
    <n v="87400"/>
    <n v="0.08"/>
    <x v="410"/>
    <n v="364000"/>
    <n v="198856"/>
    <s v="Wave Money"/>
    <s v="Su Su"/>
    <s v="Completed"/>
  </r>
  <r>
    <s v="ORD-00818"/>
    <x v="203"/>
    <s v="CUST-0117"/>
    <s v="Customer 117"/>
    <x v="3"/>
    <s v="Taungoo"/>
    <s v="Electronics"/>
    <x v="8"/>
    <x v="4"/>
    <n v="682500"/>
    <n v="0.08"/>
    <x v="411"/>
    <n v="1410000"/>
    <n v="473700"/>
    <s v="Credit Card"/>
    <s v="Thiri"/>
    <s v="Completed"/>
  </r>
  <r>
    <s v="ORD-00015"/>
    <x v="204"/>
    <s v="CUST-0118"/>
    <s v="Customer 118"/>
    <x v="0"/>
    <s v="Mayangone"/>
    <s v="Office Supplies"/>
    <x v="13"/>
    <x v="0"/>
    <n v="46400"/>
    <n v="0.02"/>
    <x v="412"/>
    <n v="130000"/>
    <n v="97360"/>
    <s v="Wave Money"/>
    <s v="Nandar"/>
    <s v="Completed"/>
  </r>
  <r>
    <s v="ORD-00174"/>
    <x v="204"/>
    <s v="CUST-0186"/>
    <s v="Customer 186"/>
    <x v="0"/>
    <s v="Hlaing"/>
    <s v="Accessories"/>
    <x v="12"/>
    <x v="2"/>
    <n v="85800"/>
    <n v="0.08"/>
    <x v="413"/>
    <n v="312000"/>
    <n v="161616"/>
    <s v="Credit Card"/>
    <s v="Htet Htet"/>
    <s v="Completed"/>
  </r>
  <r>
    <s v="ORD-00459"/>
    <x v="205"/>
    <s v="CUST-0108"/>
    <s v="Customer 108"/>
    <x v="2"/>
    <s v="Chanmyathazi"/>
    <s v="Accessories"/>
    <x v="12"/>
    <x v="5"/>
    <n v="85000"/>
    <n v="0"/>
    <x v="414"/>
    <n v="364000"/>
    <n v="231000"/>
    <s v="KBZ Pay"/>
    <s v="Htet Htet"/>
    <s v="Completed"/>
  </r>
  <r>
    <s v="ORD-00917"/>
    <x v="205"/>
    <s v="CUST-0242"/>
    <s v="Customer 242"/>
    <x v="4"/>
    <s v="Muse"/>
    <s v="Electronics"/>
    <x v="5"/>
    <x v="3"/>
    <n v="93300"/>
    <n v="0.02"/>
    <x v="415"/>
    <n v="55000"/>
    <n v="36434"/>
    <s v="Wave Money"/>
    <s v="Thiri"/>
    <s v="Completed"/>
  </r>
  <r>
    <s v="ORD-00213"/>
    <x v="206"/>
    <s v="CUST-0182"/>
    <s v="Customer 182"/>
    <x v="1"/>
    <s v="Zabuthiri"/>
    <s v="Electronics"/>
    <x v="0"/>
    <x v="5"/>
    <n v="419800"/>
    <n v="0.05"/>
    <x v="416"/>
    <n v="2100000"/>
    <n v="691670"/>
    <s v="Cash"/>
    <s v="Kyaw Kyaw"/>
    <s v="Completed"/>
  </r>
  <r>
    <s v="ORD-00665"/>
    <x v="206"/>
    <s v="CUST-0167"/>
    <s v="Customer 167"/>
    <x v="0"/>
    <s v="Hlaing"/>
    <s v="Electronics"/>
    <x v="0"/>
    <x v="5"/>
    <n v="411500"/>
    <n v="0"/>
    <x v="417"/>
    <n v="2100000"/>
    <n v="780500"/>
    <s v="Credit Card"/>
    <s v="Kyaw Kyaw"/>
    <s v="Completed"/>
  </r>
  <r>
    <s v="ORD-00285"/>
    <x v="207"/>
    <s v="CUST-0021"/>
    <s v="Customer 021"/>
    <x v="0"/>
    <s v="Tamwe"/>
    <s v="Electronics"/>
    <x v="5"/>
    <x v="6"/>
    <n v="93400"/>
    <n v="0.08"/>
    <x v="418"/>
    <n v="220000"/>
    <n v="123712"/>
    <s v="Credit Card"/>
    <s v="Htet Htet"/>
    <s v="Completed"/>
  </r>
  <r>
    <s v="ORD-00171"/>
    <x v="207"/>
    <s v="CUST-0068"/>
    <s v="Customer 068"/>
    <x v="1"/>
    <s v="Pyinmana"/>
    <s v="Office Supplies"/>
    <x v="4"/>
    <x v="5"/>
    <n v="393700"/>
    <n v="0"/>
    <x v="419"/>
    <n v="1960000"/>
    <n v="795900"/>
    <s v="Wave Money"/>
    <s v="Su Su"/>
    <s v="Completed"/>
  </r>
  <r>
    <s v="ORD-00270"/>
    <x v="208"/>
    <s v="CUST-0232"/>
    <s v="Customer 232"/>
    <x v="4"/>
    <s v="Muse"/>
    <s v="Electronics"/>
    <x v="0"/>
    <x v="3"/>
    <n v="409400"/>
    <n v="0.05"/>
    <x v="420"/>
    <n v="300000"/>
    <n v="88930"/>
    <s v="Bank Transfer"/>
    <s v="Nandar"/>
    <s v="Completed"/>
  </r>
  <r>
    <s v="ORD-00887"/>
    <x v="209"/>
    <s v="CUST-0140"/>
    <s v="Customer 140"/>
    <x v="0"/>
    <s v="Tamwe"/>
    <s v="Electronics"/>
    <x v="8"/>
    <x v="4"/>
    <n v="686100"/>
    <n v="0.05"/>
    <x v="421"/>
    <n v="1410000"/>
    <n v="545385"/>
    <s v="Bank Transfer"/>
    <s v="May Zin"/>
    <s v="Completed"/>
  </r>
  <r>
    <s v="ORD-00865"/>
    <x v="209"/>
    <s v="CUST-0208"/>
    <s v="Customer 208"/>
    <x v="1"/>
    <s v="Naypyidaw"/>
    <s v="Furniture"/>
    <x v="2"/>
    <x v="3"/>
    <n v="513000"/>
    <n v="0.1"/>
    <x v="422"/>
    <n v="365000"/>
    <n v="96700"/>
    <s v="Bank Transfer"/>
    <s v="Htet Htet"/>
    <s v="Completed"/>
  </r>
  <r>
    <s v="ORD-00251"/>
    <x v="210"/>
    <s v="CUST-0093"/>
    <s v="Customer 093"/>
    <x v="2"/>
    <s v="Chanmyathazi"/>
    <s v="Accessories"/>
    <x v="7"/>
    <x v="5"/>
    <n v="33900"/>
    <n v="0.08"/>
    <x v="423"/>
    <n v="126000"/>
    <n v="92316"/>
    <s v="KBZ Pay"/>
    <s v="Kyaw Kyaw"/>
    <s v="Completed"/>
  </r>
  <r>
    <s v="ORD-00306"/>
    <x v="210"/>
    <s v="CUST-0068"/>
    <s v="Customer 068"/>
    <x v="3"/>
    <s v="Bago"/>
    <s v="Electronics"/>
    <x v="8"/>
    <x v="3"/>
    <n v="616200"/>
    <n v="0.1"/>
    <x v="424"/>
    <n v="470000"/>
    <n v="84580"/>
    <s v="Bank Transfer"/>
    <s v="Thiri"/>
    <s v="Completed"/>
  </r>
  <r>
    <s v="ORD-00488"/>
    <x v="211"/>
    <s v="CUST-0199"/>
    <s v="Customer 199"/>
    <x v="0"/>
    <s v="Yangon"/>
    <s v="Electronics"/>
    <x v="5"/>
    <x v="0"/>
    <n v="97700"/>
    <n v="0.02"/>
    <x v="425"/>
    <n v="275000"/>
    <n v="203730"/>
    <s v="Credit Card"/>
    <s v="Su Su"/>
    <s v="Completed"/>
  </r>
  <r>
    <s v="ORD-00639"/>
    <x v="211"/>
    <s v="CUST-0188"/>
    <s v="Customer 188"/>
    <x v="0"/>
    <s v="Tamwe"/>
    <s v="Electronics"/>
    <x v="5"/>
    <x v="5"/>
    <n v="96200"/>
    <n v="0.05"/>
    <x v="426"/>
    <n v="385000"/>
    <n v="254730"/>
    <s v="Credit Card"/>
    <s v="May Zin"/>
    <s v="Completed"/>
  </r>
  <r>
    <s v="ORD-00709"/>
    <x v="212"/>
    <s v="CUST-0128"/>
    <s v="Customer 128"/>
    <x v="2"/>
    <s v="Chanmyathazi"/>
    <s v="Office Supplies"/>
    <x v="11"/>
    <x v="6"/>
    <n v="241900"/>
    <n v="0.1"/>
    <x v="427"/>
    <n v="-660000"/>
    <n v="-210840"/>
    <s v="Cash"/>
    <s v="May Zin"/>
    <s v="Returned"/>
  </r>
  <r>
    <s v="ORD-00225"/>
    <x v="212"/>
    <s v="CUST-0042"/>
    <s v="Customer 042"/>
    <x v="2"/>
    <s v="Mandalay"/>
    <s v="Office Supplies"/>
    <x v="4"/>
    <x v="5"/>
    <n v="388700"/>
    <n v="0"/>
    <x v="428"/>
    <n v="-1960000"/>
    <n v="-760900"/>
    <s v="KBZ Pay"/>
    <s v="Htet Htet"/>
    <s v="Returned"/>
  </r>
  <r>
    <s v="ORD-00007"/>
    <x v="213"/>
    <s v="CUST-0111"/>
    <s v="Customer 111"/>
    <x v="1"/>
    <s v="Pyinmana"/>
    <s v="Electronics"/>
    <x v="0"/>
    <x v="6"/>
    <n v="389400"/>
    <n v="0.02"/>
    <x v="429"/>
    <n v="1200000"/>
    <n v="326448"/>
    <s v="KBZ Pay"/>
    <s v="Thiri"/>
    <s v="Completed"/>
  </r>
  <r>
    <s v="ORD-00129"/>
    <x v="213"/>
    <s v="CUST-0134"/>
    <s v="Customer 134"/>
    <x v="4"/>
    <s v="Taunggyi"/>
    <s v="Office Supplies"/>
    <x v="1"/>
    <x v="4"/>
    <n v="28400"/>
    <n v="0.02"/>
    <x v="430"/>
    <n v="45000"/>
    <n v="38496"/>
    <s v="Cash"/>
    <s v="May Zin"/>
    <s v="Completed"/>
  </r>
  <r>
    <s v="ORD-00602"/>
    <x v="214"/>
    <s v="CUST-0232"/>
    <s v="Customer 232"/>
    <x v="1"/>
    <s v="Zabuthiri"/>
    <s v="Office Supplies"/>
    <x v="11"/>
    <x v="6"/>
    <n v="228000"/>
    <n v="0"/>
    <x v="431"/>
    <n v="660000"/>
    <n v="252000"/>
    <s v="Cash"/>
    <s v="Thiri"/>
    <s v="Completed"/>
  </r>
  <r>
    <s v="ORD-00131"/>
    <x v="214"/>
    <s v="CUST-0081"/>
    <s v="Customer 081"/>
    <x v="3"/>
    <s v="Bago"/>
    <s v="Electronics"/>
    <x v="5"/>
    <x v="1"/>
    <n v="99100"/>
    <n v="0.02"/>
    <x v="432"/>
    <n v="110000"/>
    <n v="84236"/>
    <s v="Wave Money"/>
    <s v="Kyaw Kyaw"/>
    <s v="Completed"/>
  </r>
  <r>
    <s v="ORD-00233"/>
    <x v="215"/>
    <s v="CUST-0004"/>
    <s v="Customer 004"/>
    <x v="0"/>
    <s v="Tamwe"/>
    <s v="Furniture"/>
    <x v="2"/>
    <x v="5"/>
    <n v="492300"/>
    <n v="0.08"/>
    <x v="8"/>
    <n v="0"/>
    <n v="0"/>
    <s v="Wave Money"/>
    <s v="Su Su"/>
    <s v="Cancelled"/>
  </r>
  <r>
    <s v="ORD-00748"/>
    <x v="215"/>
    <s v="CUST-0239"/>
    <s v="Customer 239"/>
    <x v="0"/>
    <s v="Yangon"/>
    <s v="Accessories"/>
    <x v="14"/>
    <x v="3"/>
    <n v="71900"/>
    <n v="0"/>
    <x v="433"/>
    <n v="-43000"/>
    <n v="-28900"/>
    <s v="KBZ Pay"/>
    <s v="Aung Aung"/>
    <s v="Returned"/>
  </r>
  <r>
    <s v="ORD-00941"/>
    <x v="216"/>
    <s v="CUST-0172"/>
    <s v="Customer 172"/>
    <x v="2"/>
    <s v="Amarapura"/>
    <s v="Furniture"/>
    <x v="9"/>
    <x v="6"/>
    <n v="180200"/>
    <n v="0"/>
    <x v="434"/>
    <n v="460000"/>
    <n v="260800"/>
    <s v="Wave Money"/>
    <s v="Nandar"/>
    <s v="Completed"/>
  </r>
  <r>
    <s v="ORD-00503"/>
    <x v="216"/>
    <s v="CUST-0069"/>
    <s v="Customer 069"/>
    <x v="0"/>
    <s v="Tamwe"/>
    <s v="Furniture"/>
    <x v="6"/>
    <x v="5"/>
    <n v="301100"/>
    <n v="0.05"/>
    <x v="8"/>
    <n v="0"/>
    <n v="0"/>
    <s v="Bank Transfer"/>
    <s v="Htet Htet"/>
    <s v="Cancelled"/>
  </r>
  <r>
    <s v="ORD-00769"/>
    <x v="216"/>
    <s v="CUST-0089"/>
    <s v="Customer 089"/>
    <x v="4"/>
    <s v="Taunggyi"/>
    <s v="Furniture"/>
    <x v="6"/>
    <x v="6"/>
    <n v="296500"/>
    <n v="0.1"/>
    <x v="435"/>
    <n v="840000"/>
    <n v="227400"/>
    <s v="Cash"/>
    <s v="Aung Aung"/>
    <s v="Completed"/>
  </r>
  <r>
    <s v="ORD-00207"/>
    <x v="216"/>
    <s v="CUST-0158"/>
    <s v="Customer 158"/>
    <x v="2"/>
    <s v="Mandalay"/>
    <s v="Office Supplies"/>
    <x v="11"/>
    <x v="0"/>
    <n v="243100"/>
    <n v="0.05"/>
    <x v="436"/>
    <n v="825000"/>
    <n v="329725"/>
    <s v="KBZ Pay"/>
    <s v="Su Su"/>
    <s v="Completed"/>
  </r>
  <r>
    <s v="ORD-00981"/>
    <x v="216"/>
    <s v="CUST-0159"/>
    <s v="Customer 159"/>
    <x v="0"/>
    <s v="Tamwe"/>
    <s v="Office Supplies"/>
    <x v="1"/>
    <x v="4"/>
    <n v="29900"/>
    <n v="0"/>
    <x v="437"/>
    <n v="45000"/>
    <n v="44700"/>
    <s v="Cash"/>
    <s v="Aung Aung"/>
    <s v="Completed"/>
  </r>
  <r>
    <s v="ORD-00653"/>
    <x v="216"/>
    <s v="CUST-0110"/>
    <s v="Customer 110"/>
    <x v="2"/>
    <s v="Amarapura"/>
    <s v="Electronics"/>
    <x v="3"/>
    <x v="5"/>
    <n v="1345300"/>
    <n v="0.02"/>
    <x v="438"/>
    <n v="-6650000"/>
    <n v="-2578758"/>
    <s v="KBZ Pay"/>
    <s v="Su Su"/>
    <s v="Returned"/>
  </r>
  <r>
    <s v="ORD-00305"/>
    <x v="217"/>
    <s v="CUST-0148"/>
    <s v="Customer 148"/>
    <x v="4"/>
    <s v="Taunggyi"/>
    <s v="Office Supplies"/>
    <x v="1"/>
    <x v="1"/>
    <n v="28700"/>
    <n v="0.02"/>
    <x v="439"/>
    <n v="30000"/>
    <n v="26252"/>
    <s v="Bank Transfer"/>
    <s v="Htet Htet"/>
    <s v="Completed"/>
  </r>
  <r>
    <s v="ORD-00546"/>
    <x v="218"/>
    <s v="CUST-0112"/>
    <s v="Customer 112"/>
    <x v="0"/>
    <s v="Tamwe"/>
    <s v="Electronics"/>
    <x v="3"/>
    <x v="6"/>
    <n v="1334900"/>
    <n v="0"/>
    <x v="440"/>
    <n v="3800000"/>
    <n v="1539600"/>
    <s v="Cash"/>
    <s v="Thiri"/>
    <s v="Completed"/>
  </r>
  <r>
    <s v="ORD-00732"/>
    <x v="219"/>
    <s v="CUST-0247"/>
    <s v="Customer 247"/>
    <x v="2"/>
    <s v="Amarapura"/>
    <s v="Electronics"/>
    <x v="8"/>
    <x v="1"/>
    <n v="606900"/>
    <n v="0.1"/>
    <x v="441"/>
    <n v="940000"/>
    <n v="152420"/>
    <s v="KBZ Pay"/>
    <s v="Htet Htet"/>
    <s v="Completed"/>
  </r>
  <r>
    <s v="ORD-00194"/>
    <x v="220"/>
    <s v="CUST-0186"/>
    <s v="Customer 186"/>
    <x v="0"/>
    <s v="Tamwe"/>
    <s v="Electronics"/>
    <x v="0"/>
    <x v="6"/>
    <n v="438500"/>
    <n v="0.08"/>
    <x v="442"/>
    <n v="1200000"/>
    <n v="413680"/>
    <s v="Wave Money"/>
    <s v="Thiri"/>
    <s v="Completed"/>
  </r>
  <r>
    <s v="ORD-00583"/>
    <x v="220"/>
    <s v="CUST-0223"/>
    <s v="Customer 223"/>
    <x v="0"/>
    <s v="Mayangone"/>
    <s v="Accessories"/>
    <x v="14"/>
    <x v="4"/>
    <n v="74300"/>
    <n v="0.02"/>
    <x v="443"/>
    <n v="129000"/>
    <n v="89442"/>
    <s v="Wave Money"/>
    <s v="Nandar"/>
    <s v="Completed"/>
  </r>
  <r>
    <s v="ORD-00988"/>
    <x v="220"/>
    <s v="CUST-0125"/>
    <s v="Customer 125"/>
    <x v="2"/>
    <s v="Amarapura"/>
    <s v="Furniture"/>
    <x v="2"/>
    <x v="5"/>
    <n v="537000"/>
    <n v="0.05"/>
    <x v="444"/>
    <n v="-2555000"/>
    <n v="-1016050"/>
    <s v="Credit Card"/>
    <s v="Kyaw Kyaw"/>
    <s v="Returned"/>
  </r>
  <r>
    <s v="ORD-00811"/>
    <x v="221"/>
    <s v="CUST-0204"/>
    <s v="Customer 204"/>
    <x v="0"/>
    <s v="Yangon"/>
    <s v="Furniture"/>
    <x v="6"/>
    <x v="0"/>
    <n v="305900"/>
    <n v="0.08"/>
    <x v="445"/>
    <n v="1050000"/>
    <n v="357140"/>
    <s v="Cash"/>
    <s v="Kyaw Kyaw"/>
    <s v="Completed"/>
  </r>
  <r>
    <s v="ORD-00456"/>
    <x v="221"/>
    <s v="CUST-0161"/>
    <s v="Customer 161"/>
    <x v="0"/>
    <s v="Yangon"/>
    <s v="Electronics"/>
    <x v="8"/>
    <x v="3"/>
    <n v="660600"/>
    <n v="0.05"/>
    <x v="446"/>
    <n v="470000"/>
    <n v="157570"/>
    <s v="Credit Card"/>
    <s v="Aung Aung"/>
    <s v="Completed"/>
  </r>
  <r>
    <s v="ORD-00647"/>
    <x v="222"/>
    <s v="CUST-0151"/>
    <s v="Customer 151"/>
    <x v="2"/>
    <s v="Mandalay"/>
    <s v="Office Supplies"/>
    <x v="4"/>
    <x v="6"/>
    <n v="385100"/>
    <n v="0.08"/>
    <x v="447"/>
    <n v="1120000"/>
    <n v="297168"/>
    <s v="KBZ Pay"/>
    <s v="Kyaw Kyaw"/>
    <s v="Completed"/>
  </r>
  <r>
    <s v="ORD-00751"/>
    <x v="222"/>
    <s v="CUST-0146"/>
    <s v="Customer 146"/>
    <x v="0"/>
    <s v="Mayangone"/>
    <s v="Electronics"/>
    <x v="5"/>
    <x v="4"/>
    <n v="92800"/>
    <n v="0.08"/>
    <x v="448"/>
    <n v="165000"/>
    <n v="91128"/>
    <s v="Cash"/>
    <s v="May Zin"/>
    <s v="Completed"/>
  </r>
  <r>
    <s v="ORD-00160"/>
    <x v="222"/>
    <s v="CUST-0199"/>
    <s v="Customer 199"/>
    <x v="2"/>
    <s v="Chanmyathazi"/>
    <s v="Office Supplies"/>
    <x v="13"/>
    <x v="2"/>
    <n v="46100"/>
    <n v="0.02"/>
    <x v="449"/>
    <n v="156000"/>
    <n v="115068"/>
    <s v="KBZ Pay"/>
    <s v="May Zin"/>
    <s v="Completed"/>
  </r>
  <r>
    <s v="ORD-00880"/>
    <x v="223"/>
    <s v="CUST-0035"/>
    <s v="Customer 035"/>
    <x v="2"/>
    <s v="Amarapura"/>
    <s v="Accessories"/>
    <x v="7"/>
    <x v="1"/>
    <n v="34200"/>
    <n v="0.08"/>
    <x v="450"/>
    <n v="36000"/>
    <n v="26928"/>
    <s v="Bank Transfer"/>
    <s v="May Zin"/>
    <s v="Completed"/>
  </r>
  <r>
    <s v="ORD-00531"/>
    <x v="223"/>
    <s v="CUST-0084"/>
    <s v="Customer 084"/>
    <x v="2"/>
    <s v="Amarapura"/>
    <s v="Electronics"/>
    <x v="0"/>
    <x v="5"/>
    <n v="408800"/>
    <n v="0.02"/>
    <x v="451"/>
    <n v="2100000"/>
    <n v="704368"/>
    <s v="KBZ Pay"/>
    <s v="Htet Htet"/>
    <s v="Completed"/>
  </r>
  <r>
    <s v="ORD-00875"/>
    <x v="223"/>
    <s v="CUST-0175"/>
    <s v="Customer 175"/>
    <x v="2"/>
    <s v="Chanmyathazi"/>
    <s v="Furniture"/>
    <x v="6"/>
    <x v="2"/>
    <n v="333900"/>
    <n v="0"/>
    <x v="452"/>
    <n v="1260000"/>
    <n v="743400"/>
    <s v="Cash"/>
    <s v="May Zin"/>
    <s v="Completed"/>
  </r>
  <r>
    <s v="ORD-00757"/>
    <x v="224"/>
    <s v="CUST-0068"/>
    <s v="Customer 068"/>
    <x v="4"/>
    <s v="Muse"/>
    <s v="Office Supplies"/>
    <x v="11"/>
    <x v="5"/>
    <n v="244700"/>
    <n v="0"/>
    <x v="453"/>
    <n v="1155000"/>
    <n v="557900"/>
    <s v="Cash"/>
    <s v="Nandar"/>
    <s v="Completed"/>
  </r>
  <r>
    <s v="ORD-00400"/>
    <x v="224"/>
    <s v="CUST-0084"/>
    <s v="Customer 084"/>
    <x v="0"/>
    <s v="Tamwe"/>
    <s v="Office Supplies"/>
    <x v="4"/>
    <x v="0"/>
    <n v="364800"/>
    <n v="0.08"/>
    <x v="454"/>
    <n v="1400000"/>
    <n v="278080"/>
    <s v="KBZ Pay"/>
    <s v="Htet Htet"/>
    <s v="Completed"/>
  </r>
  <r>
    <s v="ORD-00192"/>
    <x v="225"/>
    <s v="CUST-0069"/>
    <s v="Customer 069"/>
    <x v="1"/>
    <s v="Zabuthiri"/>
    <s v="Office Supplies"/>
    <x v="13"/>
    <x v="3"/>
    <n v="45800"/>
    <n v="0"/>
    <x v="455"/>
    <n v="26000"/>
    <n v="19800"/>
    <s v="Wave Money"/>
    <s v="Nandar"/>
    <s v="Completed"/>
  </r>
  <r>
    <s v="ORD-00494"/>
    <x v="226"/>
    <s v="CUST-0075"/>
    <s v="Customer 075"/>
    <x v="0"/>
    <s v="Tamwe"/>
    <s v="Office Supplies"/>
    <x v="11"/>
    <x v="4"/>
    <n v="240400"/>
    <n v="0"/>
    <x v="456"/>
    <n v="495000"/>
    <n v="226200"/>
    <s v="Wave Money"/>
    <s v="Kyaw Kyaw"/>
    <s v="Completed"/>
  </r>
  <r>
    <s v="ORD-00092"/>
    <x v="226"/>
    <s v="CUST-0246"/>
    <s v="Customer 246"/>
    <x v="1"/>
    <s v="Naypyidaw"/>
    <s v="Office Supplies"/>
    <x v="11"/>
    <x v="4"/>
    <n v="223300"/>
    <n v="0.08"/>
    <x v="457"/>
    <n v="495000"/>
    <n v="121308"/>
    <s v="KBZ Pay"/>
    <s v="Htet Htet"/>
    <s v="Completed"/>
  </r>
  <r>
    <s v="ORD-00934"/>
    <x v="227"/>
    <s v="CUST-0072"/>
    <s v="Customer 072"/>
    <x v="3"/>
    <s v="Pyay"/>
    <s v="Office Supplies"/>
    <x v="11"/>
    <x v="1"/>
    <n v="231700"/>
    <n v="0"/>
    <x v="458"/>
    <n v="330000"/>
    <n v="133400"/>
    <s v="Credit Card"/>
    <s v="Aung Aung"/>
    <s v="Completed"/>
  </r>
  <r>
    <s v="ORD-00387"/>
    <x v="228"/>
    <s v="CUST-0020"/>
    <s v="Customer 020"/>
    <x v="0"/>
    <s v="Hlaing"/>
    <s v="Office Supplies"/>
    <x v="1"/>
    <x v="2"/>
    <n v="29100"/>
    <n v="0.05"/>
    <x v="459"/>
    <n v="90000"/>
    <n v="75870"/>
    <s v="Cash"/>
    <s v="Htet Htet"/>
    <s v="Completed"/>
  </r>
  <r>
    <s v="ORD-00574"/>
    <x v="229"/>
    <s v="CUST-0065"/>
    <s v="Customer 065"/>
    <x v="2"/>
    <s v="Chanmyathazi"/>
    <s v="Electronics"/>
    <x v="5"/>
    <x v="0"/>
    <n v="95200"/>
    <n v="0.08"/>
    <x v="460"/>
    <n v="275000"/>
    <n v="162920"/>
    <s v="Credit Card"/>
    <s v="Thiri"/>
    <s v="Completed"/>
  </r>
  <r>
    <s v="ORD-00245"/>
    <x v="230"/>
    <s v="CUST-0097"/>
    <s v="Customer 097"/>
    <x v="2"/>
    <s v="Mandalay"/>
    <s v="Office Supplies"/>
    <x v="13"/>
    <x v="3"/>
    <n v="41500"/>
    <n v="0"/>
    <x v="461"/>
    <n v="26000"/>
    <n v="15500"/>
    <s v="Credit Card"/>
    <s v="Su Su"/>
    <s v="Completed"/>
  </r>
  <r>
    <s v="ORD-00103"/>
    <x v="231"/>
    <s v="CUST-0054"/>
    <s v="Customer 054"/>
    <x v="3"/>
    <s v="Bago"/>
    <s v="Office Supplies"/>
    <x v="11"/>
    <x v="4"/>
    <n v="234500"/>
    <n v="0.08"/>
    <x v="462"/>
    <n v="495000"/>
    <n v="152220"/>
    <s v="Wave Money"/>
    <s v="Su Su"/>
    <s v="Completed"/>
  </r>
  <r>
    <s v="ORD-00458"/>
    <x v="231"/>
    <s v="CUST-0187"/>
    <s v="Customer 187"/>
    <x v="2"/>
    <s v="Chanmyathazi"/>
    <s v="Furniture"/>
    <x v="9"/>
    <x v="3"/>
    <n v="177000"/>
    <n v="0.02"/>
    <x v="463"/>
    <n v="115000"/>
    <n v="58460"/>
    <s v="Wave Money"/>
    <s v="May Zin"/>
    <s v="Completed"/>
  </r>
  <r>
    <s v="ORD-00115"/>
    <x v="232"/>
    <s v="CUST-0250"/>
    <s v="Customer 250"/>
    <x v="0"/>
    <s v="Yangon"/>
    <s v="Accessories"/>
    <x v="14"/>
    <x v="3"/>
    <n v="70300"/>
    <n v="0.02"/>
    <x v="464"/>
    <n v="43000"/>
    <n v="25894"/>
    <s v="Wave Money"/>
    <s v="Thiri"/>
    <s v="Completed"/>
  </r>
  <r>
    <s v="ORD-00155"/>
    <x v="233"/>
    <s v="CUST-0247"/>
    <s v="Customer 247"/>
    <x v="0"/>
    <s v="Mayangone"/>
    <s v="Electronics"/>
    <x v="5"/>
    <x v="1"/>
    <n v="90500"/>
    <n v="0.08"/>
    <x v="8"/>
    <n v="0"/>
    <n v="0"/>
    <s v="Cash"/>
    <s v="Nandar"/>
    <s v="Cancelled"/>
  </r>
  <r>
    <s v="ORD-00126"/>
    <x v="234"/>
    <s v="CUST-0163"/>
    <s v="Customer 163"/>
    <x v="0"/>
    <s v="Yangon"/>
    <s v="Office Supplies"/>
    <x v="4"/>
    <x v="3"/>
    <n v="388000"/>
    <n v="0.02"/>
    <x v="465"/>
    <n v="280000"/>
    <n v="100240"/>
    <s v="Bank Transfer"/>
    <s v="Nandar"/>
    <s v="Completed"/>
  </r>
  <r>
    <s v="ORD-00694"/>
    <x v="234"/>
    <s v="CUST-0116"/>
    <s v="Customer 116"/>
    <x v="0"/>
    <s v="Yangon"/>
    <s v="Office Supplies"/>
    <x v="13"/>
    <x v="5"/>
    <n v="44400"/>
    <n v="0"/>
    <x v="8"/>
    <n v="0"/>
    <n v="0"/>
    <s v="Bank Transfer"/>
    <s v="Nandar"/>
    <s v="Cancelled"/>
  </r>
  <r>
    <s v="ORD-00435"/>
    <x v="235"/>
    <s v="CUST-0060"/>
    <s v="Customer 060"/>
    <x v="0"/>
    <s v="Tamwe"/>
    <s v="Furniture"/>
    <x v="2"/>
    <x v="1"/>
    <n v="552400"/>
    <n v="0.15"/>
    <x v="466"/>
    <n v="730000"/>
    <n v="209080"/>
    <s v="KBZ Pay"/>
    <s v="Kyaw Kyaw"/>
    <s v="Completed"/>
  </r>
  <r>
    <s v="ORD-00372"/>
    <x v="235"/>
    <s v="CUST-0036"/>
    <s v="Customer 036"/>
    <x v="3"/>
    <s v="Taungoo"/>
    <s v="Accessories"/>
    <x v="10"/>
    <x v="1"/>
    <n v="88600"/>
    <n v="0"/>
    <x v="467"/>
    <n v="116000"/>
    <n v="61200"/>
    <s v="KBZ Pay"/>
    <s v="Kyaw Kyaw"/>
    <s v="Completed"/>
  </r>
  <r>
    <s v="ORD-00736"/>
    <x v="236"/>
    <s v="CUST-0099"/>
    <s v="Customer 099"/>
    <x v="2"/>
    <s v="Amarapura"/>
    <s v="Electronics"/>
    <x v="5"/>
    <x v="1"/>
    <n v="91400"/>
    <n v="0.08"/>
    <x v="468"/>
    <n v="110000"/>
    <n v="58176"/>
    <s v="Credit Card"/>
    <s v="Kyaw Kyaw"/>
    <s v="Completed"/>
  </r>
  <r>
    <s v="ORD-00874"/>
    <x v="236"/>
    <s v="CUST-0028"/>
    <s v="Customer 028"/>
    <x v="4"/>
    <s v="Lashio"/>
    <s v="Office Supplies"/>
    <x v="1"/>
    <x v="5"/>
    <n v="28800"/>
    <n v="0.05"/>
    <x v="469"/>
    <n v="105000"/>
    <n v="86520"/>
    <s v="Credit Card"/>
    <s v="Su Su"/>
    <s v="Completed"/>
  </r>
  <r>
    <s v="ORD-00840"/>
    <x v="237"/>
    <s v="CUST-0235"/>
    <s v="Customer 235"/>
    <x v="1"/>
    <s v="Pyinmana"/>
    <s v="Furniture"/>
    <x v="2"/>
    <x v="4"/>
    <n v="489700"/>
    <n v="0.05"/>
    <x v="470"/>
    <n v="1095000"/>
    <n v="300645"/>
    <s v="Cash"/>
    <s v="Min Min"/>
    <s v="Completed"/>
  </r>
  <r>
    <s v="ORD-00918"/>
    <x v="238"/>
    <s v="CUST-0145"/>
    <s v="Customer 145"/>
    <x v="0"/>
    <s v="Mayangone"/>
    <s v="Electronics"/>
    <x v="5"/>
    <x v="6"/>
    <n v="91500"/>
    <n v="0.08"/>
    <x v="471"/>
    <n v="-220000"/>
    <n v="-116720"/>
    <s v="Cash"/>
    <s v="May Zin"/>
    <s v="Returned"/>
  </r>
  <r>
    <s v="ORD-00359"/>
    <x v="239"/>
    <s v="CUST-0128"/>
    <s v="Customer 128"/>
    <x v="1"/>
    <s v="Naypyidaw"/>
    <s v="Office Supplies"/>
    <x v="13"/>
    <x v="6"/>
    <n v="44600"/>
    <n v="0.05"/>
    <x v="8"/>
    <n v="0"/>
    <n v="0"/>
    <s v="Cash"/>
    <s v="Kyaw Kyaw"/>
    <s v="Cancelled"/>
  </r>
  <r>
    <s v="ORD-00431"/>
    <x v="239"/>
    <s v="CUST-0185"/>
    <s v="Customer 185"/>
    <x v="0"/>
    <s v="Hlaing"/>
    <s v="Office Supplies"/>
    <x v="1"/>
    <x v="5"/>
    <n v="26300"/>
    <n v="0"/>
    <x v="367"/>
    <n v="105000"/>
    <n v="79100"/>
    <s v="Wave Money"/>
    <s v="Thiri"/>
    <s v="Completed"/>
  </r>
  <r>
    <s v="ORD-00552"/>
    <x v="239"/>
    <s v="CUST-0056"/>
    <s v="Customer 056"/>
    <x v="2"/>
    <s v="Mandalay"/>
    <s v="Electronics"/>
    <x v="3"/>
    <x v="6"/>
    <n v="1251100"/>
    <n v="0.05"/>
    <x v="472"/>
    <n v="3800000"/>
    <n v="954180"/>
    <s v="Credit Card"/>
    <s v="Min Min"/>
    <s v="Completed"/>
  </r>
  <r>
    <s v="ORD-00150"/>
    <x v="240"/>
    <s v="CUST-0020"/>
    <s v="Customer 020"/>
    <x v="0"/>
    <s v="Hlaing"/>
    <s v="Electronics"/>
    <x v="8"/>
    <x v="1"/>
    <n v="644700"/>
    <n v="0.08"/>
    <x v="473"/>
    <n v="940000"/>
    <n v="246248"/>
    <s v="Bank Transfer"/>
    <s v="Nandar"/>
    <s v="Completed"/>
  </r>
  <r>
    <s v="ORD-00437"/>
    <x v="240"/>
    <s v="CUST-0089"/>
    <s v="Customer 089"/>
    <x v="0"/>
    <s v="Mayangone"/>
    <s v="Electronics"/>
    <x v="3"/>
    <x v="6"/>
    <n v="1290300"/>
    <n v="0"/>
    <x v="8"/>
    <n v="0"/>
    <n v="0"/>
    <s v="KBZ Pay"/>
    <s v="Su Su"/>
    <s v="Cancelled"/>
  </r>
  <r>
    <s v="ORD-00971"/>
    <x v="240"/>
    <s v="CUST-0146"/>
    <s v="Customer 146"/>
    <x v="0"/>
    <s v="Yangon"/>
    <s v="Office Supplies"/>
    <x v="13"/>
    <x v="0"/>
    <n v="47200"/>
    <n v="0"/>
    <x v="474"/>
    <n v="130000"/>
    <n v="106000"/>
    <s v="Credit Card"/>
    <s v="Thiri"/>
    <s v="Completed"/>
  </r>
  <r>
    <s v="ORD-00975"/>
    <x v="240"/>
    <s v="CUST-0090"/>
    <s v="Customer 090"/>
    <x v="4"/>
    <s v="Lashio"/>
    <s v="Office Supplies"/>
    <x v="1"/>
    <x v="0"/>
    <n v="30100"/>
    <n v="0.1"/>
    <x v="475"/>
    <n v="75000"/>
    <n v="60450"/>
    <s v="Wave Money"/>
    <s v="Nandar"/>
    <s v="Completed"/>
  </r>
  <r>
    <s v="ORD-00479"/>
    <x v="240"/>
    <s v="CUST-0031"/>
    <s v="Customer 031"/>
    <x v="0"/>
    <s v="Hlaing"/>
    <s v="Office Supplies"/>
    <x v="11"/>
    <x v="6"/>
    <n v="247700"/>
    <n v="0.02"/>
    <x v="476"/>
    <n v="660000"/>
    <n v="310984"/>
    <s v="Cash"/>
    <s v="Thiri"/>
    <s v="Completed"/>
  </r>
  <r>
    <s v="ORD-00637"/>
    <x v="241"/>
    <s v="CUST-0106"/>
    <s v="Customer 106"/>
    <x v="0"/>
    <s v="Tamwe"/>
    <s v="Office Supplies"/>
    <x v="13"/>
    <x v="3"/>
    <n v="45900"/>
    <n v="0"/>
    <x v="477"/>
    <n v="26000"/>
    <n v="19900"/>
    <s v="Wave Money"/>
    <s v="Min Min"/>
    <s v="Completed"/>
  </r>
  <r>
    <s v="ORD-00140"/>
    <x v="242"/>
    <s v="CUST-0204"/>
    <s v="Customer 204"/>
    <x v="4"/>
    <s v="Taunggyi"/>
    <s v="Furniture"/>
    <x v="9"/>
    <x v="3"/>
    <n v="192600"/>
    <n v="0"/>
    <x v="478"/>
    <n v="115000"/>
    <n v="77600"/>
    <s v="KBZ Pay"/>
    <s v="Nandar"/>
    <s v="Completed"/>
  </r>
  <r>
    <s v="ORD-00032"/>
    <x v="242"/>
    <s v="CUST-0005"/>
    <s v="Customer 005"/>
    <x v="0"/>
    <s v="Hlaing"/>
    <s v="Electronics"/>
    <x v="0"/>
    <x v="6"/>
    <n v="408400"/>
    <n v="0.08"/>
    <x v="479"/>
    <n v="1200000"/>
    <n v="302912"/>
    <s v="Credit Card"/>
    <s v="May Zin"/>
    <s v="Completed"/>
  </r>
  <r>
    <s v="ORD-00453"/>
    <x v="242"/>
    <s v="CUST-0026"/>
    <s v="Customer 026"/>
    <x v="1"/>
    <s v="Zabuthiri"/>
    <s v="Office Supplies"/>
    <x v="13"/>
    <x v="3"/>
    <n v="43200"/>
    <n v="0"/>
    <x v="480"/>
    <n v="26000"/>
    <n v="17200"/>
    <s v="Cash"/>
    <s v="Aung Aung"/>
    <s v="Completed"/>
  </r>
  <r>
    <s v="ORD-00731"/>
    <x v="243"/>
    <s v="CUST-0117"/>
    <s v="Customer 117"/>
    <x v="0"/>
    <s v="Yangon"/>
    <s v="Electronics"/>
    <x v="8"/>
    <x v="2"/>
    <n v="635800"/>
    <n v="0.02"/>
    <x v="481"/>
    <n v="2820000"/>
    <n v="918504"/>
    <s v="Wave Money"/>
    <s v="Min Min"/>
    <s v="Completed"/>
  </r>
  <r>
    <s v="ORD-00538"/>
    <x v="244"/>
    <s v="CUST-0213"/>
    <s v="Customer 213"/>
    <x v="2"/>
    <s v="Mandalay"/>
    <s v="Office Supplies"/>
    <x v="4"/>
    <x v="1"/>
    <n v="381700"/>
    <n v="0.02"/>
    <x v="482"/>
    <n v="560000"/>
    <n v="188132"/>
    <s v="KBZ Pay"/>
    <s v="Htet Htet"/>
    <s v="Completed"/>
  </r>
  <r>
    <s v="ORD-00910"/>
    <x v="244"/>
    <s v="CUST-0150"/>
    <s v="Customer 150"/>
    <x v="0"/>
    <s v="Hlaing"/>
    <s v="Accessories"/>
    <x v="12"/>
    <x v="0"/>
    <n v="87600"/>
    <n v="0.08"/>
    <x v="483"/>
    <n v="260000"/>
    <n v="142960"/>
    <s v="Credit Card"/>
    <s v="Nandar"/>
    <s v="Completed"/>
  </r>
  <r>
    <s v="ORD-00612"/>
    <x v="244"/>
    <s v="CUST-0178"/>
    <s v="Customer 178"/>
    <x v="0"/>
    <s v="Tamwe"/>
    <s v="Furniture"/>
    <x v="6"/>
    <x v="0"/>
    <n v="312200"/>
    <n v="0"/>
    <x v="484"/>
    <n v="1050000"/>
    <n v="511000"/>
    <s v="KBZ Pay"/>
    <s v="Nandar"/>
    <s v="Completed"/>
  </r>
  <r>
    <s v="ORD-00062"/>
    <x v="245"/>
    <s v="CUST-0184"/>
    <s v="Customer 184"/>
    <x v="2"/>
    <s v="Mandalay"/>
    <s v="Furniture"/>
    <x v="9"/>
    <x v="5"/>
    <n v="180700"/>
    <n v="0.08"/>
    <x v="485"/>
    <n v="805000"/>
    <n v="358708"/>
    <s v="KBZ Pay"/>
    <s v="Aung Aung"/>
    <s v="Completed"/>
  </r>
  <r>
    <s v="ORD-00088"/>
    <x v="246"/>
    <s v="CUST-0135"/>
    <s v="Customer 135"/>
    <x v="0"/>
    <s v="Mayangone"/>
    <s v="Furniture"/>
    <x v="9"/>
    <x v="3"/>
    <n v="168900"/>
    <n v="0.05"/>
    <x v="486"/>
    <n v="-115000"/>
    <n v="-45455"/>
    <s v="KBZ Pay"/>
    <s v="Su Su"/>
    <s v="Returned"/>
  </r>
  <r>
    <s v="ORD-00556"/>
    <x v="246"/>
    <s v="CUST-0178"/>
    <s v="Customer 178"/>
    <x v="0"/>
    <s v="Tamwe"/>
    <s v="Office Supplies"/>
    <x v="4"/>
    <x v="5"/>
    <n v="366300"/>
    <n v="0.05"/>
    <x v="487"/>
    <n v="1960000"/>
    <n v="475895"/>
    <s v="Bank Transfer"/>
    <s v="May Zin"/>
    <s v="Completed"/>
  </r>
  <r>
    <s v="ORD-00802"/>
    <x v="246"/>
    <s v="CUST-0038"/>
    <s v="Customer 038"/>
    <x v="0"/>
    <s v="Yangon"/>
    <s v="Accessories"/>
    <x v="7"/>
    <x v="5"/>
    <n v="32200"/>
    <n v="0.1"/>
    <x v="488"/>
    <n v="126000"/>
    <n v="76860"/>
    <s v="Bank Transfer"/>
    <s v="Su Su"/>
    <s v="Completed"/>
  </r>
  <r>
    <s v="ORD-00882"/>
    <x v="246"/>
    <s v="CUST-0141"/>
    <s v="Customer 141"/>
    <x v="1"/>
    <s v="Naypyidaw"/>
    <s v="Electronics"/>
    <x v="8"/>
    <x v="1"/>
    <n v="598600"/>
    <n v="0.02"/>
    <x v="489"/>
    <n v="940000"/>
    <n v="233256"/>
    <s v="KBZ Pay"/>
    <s v="Kyaw Kyaw"/>
    <s v="Completed"/>
  </r>
  <r>
    <s v="ORD-00695"/>
    <x v="247"/>
    <s v="CUST-0012"/>
    <s v="Customer 012"/>
    <x v="0"/>
    <s v="Tamwe"/>
    <s v="Office Supplies"/>
    <x v="4"/>
    <x v="2"/>
    <n v="386500"/>
    <n v="0.15"/>
    <x v="490"/>
    <n v="1680000"/>
    <n v="291150"/>
    <s v="Cash"/>
    <s v="Min Min"/>
    <s v="Completed"/>
  </r>
  <r>
    <s v="ORD-00179"/>
    <x v="247"/>
    <s v="CUST-0166"/>
    <s v="Customer 166"/>
    <x v="0"/>
    <s v="Hlaing"/>
    <s v="Office Supplies"/>
    <x v="13"/>
    <x v="6"/>
    <n v="47500"/>
    <n v="0"/>
    <x v="491"/>
    <n v="-104000"/>
    <n v="-86000"/>
    <s v="KBZ Pay"/>
    <s v="Su Su"/>
    <s v="Returned"/>
  </r>
  <r>
    <s v="ORD-00600"/>
    <x v="247"/>
    <s v="CUST-0200"/>
    <s v="Customer 200"/>
    <x v="2"/>
    <s v="Amarapura"/>
    <s v="Furniture"/>
    <x v="9"/>
    <x v="1"/>
    <n v="172600"/>
    <n v="0.05"/>
    <x v="492"/>
    <n v="230000"/>
    <n v="97940"/>
    <s v="Wave Money"/>
    <s v="Nandar"/>
    <s v="Completed"/>
  </r>
  <r>
    <s v="ORD-00952"/>
    <x v="247"/>
    <s v="CUST-0136"/>
    <s v="Customer 136"/>
    <x v="0"/>
    <s v="Hlaing"/>
    <s v="Accessories"/>
    <x v="14"/>
    <x v="6"/>
    <n v="78100"/>
    <n v="0.05"/>
    <x v="493"/>
    <n v="172000"/>
    <n v="124780"/>
    <s v="Bank Transfer"/>
    <s v="Htet Htet"/>
    <s v="Completed"/>
  </r>
  <r>
    <s v="ORD-00919"/>
    <x v="247"/>
    <s v="CUST-0187"/>
    <s v="Customer 187"/>
    <x v="3"/>
    <s v="Bago"/>
    <s v="Furniture"/>
    <x v="2"/>
    <x v="5"/>
    <n v="504200"/>
    <n v="0"/>
    <x v="494"/>
    <n v="2555000"/>
    <n v="974400"/>
    <s v="Bank Transfer"/>
    <s v="Thiri"/>
    <s v="Completed"/>
  </r>
  <r>
    <s v="ORD-00793"/>
    <x v="247"/>
    <s v="CUST-0160"/>
    <s v="Customer 160"/>
    <x v="0"/>
    <s v="Yangon"/>
    <s v="Furniture"/>
    <x v="6"/>
    <x v="6"/>
    <n v="312200"/>
    <n v="0.02"/>
    <x v="495"/>
    <n v="840000"/>
    <n v="383824"/>
    <s v="Credit Card"/>
    <s v="Su Su"/>
    <s v="Completed"/>
  </r>
  <r>
    <s v="ORD-00317"/>
    <x v="248"/>
    <s v="CUST-0063"/>
    <s v="Customer 063"/>
    <x v="0"/>
    <s v="Tamwe"/>
    <s v="Electronics"/>
    <x v="3"/>
    <x v="0"/>
    <n v="1192700"/>
    <n v="0.08"/>
    <x v="496"/>
    <n v="4750000"/>
    <n v="736420"/>
    <s v="Cash"/>
    <s v="Aung Aung"/>
    <s v="Completed"/>
  </r>
  <r>
    <s v="ORD-00922"/>
    <x v="249"/>
    <s v="CUST-0060"/>
    <s v="Customer 060"/>
    <x v="4"/>
    <s v="Lashio"/>
    <s v="Accessories"/>
    <x v="10"/>
    <x v="1"/>
    <n v="84200"/>
    <n v="0"/>
    <x v="497"/>
    <n v="116000"/>
    <n v="52400"/>
    <s v="Cash"/>
    <s v="Min Min"/>
    <s v="Completed"/>
  </r>
  <r>
    <s v="ORD-00422"/>
    <x v="249"/>
    <s v="CUST-0085"/>
    <s v="Customer 085"/>
    <x v="0"/>
    <s v="Tamwe"/>
    <s v="Electronics"/>
    <x v="8"/>
    <x v="4"/>
    <n v="660700"/>
    <n v="0"/>
    <x v="498"/>
    <n v="1410000"/>
    <n v="572100"/>
    <s v="Wave Money"/>
    <s v="Thiri"/>
    <s v="Completed"/>
  </r>
  <r>
    <s v="ORD-00825"/>
    <x v="250"/>
    <s v="CUST-0179"/>
    <s v="Customer 179"/>
    <x v="0"/>
    <s v="Hlaing"/>
    <s v="Electronics"/>
    <x v="3"/>
    <x v="5"/>
    <n v="1194700"/>
    <n v="0.1"/>
    <x v="499"/>
    <n v="6650000"/>
    <n v="876610"/>
    <s v="Bank Transfer"/>
    <s v="Su Su"/>
    <s v="Completed"/>
  </r>
  <r>
    <s v="ORD-00781"/>
    <x v="250"/>
    <s v="CUST-0188"/>
    <s v="Customer 188"/>
    <x v="0"/>
    <s v="Hlaing"/>
    <s v="Office Supplies"/>
    <x v="11"/>
    <x v="3"/>
    <n v="237300"/>
    <n v="0.02"/>
    <x v="500"/>
    <n v="-165000"/>
    <n v="-67554"/>
    <s v="Credit Card"/>
    <s v="Htet Htet"/>
    <s v="Returned"/>
  </r>
  <r>
    <s v="ORD-00877"/>
    <x v="250"/>
    <s v="CUST-0160"/>
    <s v="Customer 160"/>
    <x v="0"/>
    <s v="Hlaing"/>
    <s v="Electronics"/>
    <x v="8"/>
    <x v="1"/>
    <n v="637300"/>
    <n v="0.02"/>
    <x v="501"/>
    <n v="940000"/>
    <n v="309108"/>
    <s v="Bank Transfer"/>
    <s v="Nandar"/>
    <s v="Completed"/>
  </r>
  <r>
    <s v="ORD-00141"/>
    <x v="251"/>
    <s v="CUST-0127"/>
    <s v="Customer 127"/>
    <x v="3"/>
    <s v="Pyay"/>
    <s v="Furniture"/>
    <x v="2"/>
    <x v="4"/>
    <n v="552800"/>
    <n v="0.05"/>
    <x v="502"/>
    <n v="1095000"/>
    <n v="480480"/>
    <s v="KBZ Pay"/>
    <s v="Min Min"/>
    <s v="Completed"/>
  </r>
  <r>
    <s v="ORD-00864"/>
    <x v="252"/>
    <s v="CUST-0017"/>
    <s v="Customer 017"/>
    <x v="3"/>
    <s v="Taungoo"/>
    <s v="Office Supplies"/>
    <x v="11"/>
    <x v="5"/>
    <n v="241300"/>
    <n v="0.15"/>
    <x v="8"/>
    <n v="0"/>
    <n v="0"/>
    <s v="Wave Money"/>
    <s v="Htet Htet"/>
    <s v="Cancelled"/>
  </r>
  <r>
    <s v="ORD-00879"/>
    <x v="252"/>
    <s v="CUST-0048"/>
    <s v="Customer 048"/>
    <x v="2"/>
    <s v="Chanmyathazi"/>
    <s v="Electronics"/>
    <x v="5"/>
    <x v="5"/>
    <n v="99000"/>
    <n v="0"/>
    <x v="503"/>
    <n v="385000"/>
    <n v="308000"/>
    <s v="Cash"/>
    <s v="Htet Htet"/>
    <s v="Completed"/>
  </r>
  <r>
    <s v="ORD-00914"/>
    <x v="253"/>
    <s v="CUST-0038"/>
    <s v="Customer 038"/>
    <x v="4"/>
    <s v="Lashio"/>
    <s v="Accessories"/>
    <x v="10"/>
    <x v="6"/>
    <n v="92500"/>
    <n v="0.08"/>
    <x v="504"/>
    <n v="232000"/>
    <n v="108400"/>
    <s v="Credit Card"/>
    <s v="Nandar"/>
    <s v="Completed"/>
  </r>
  <r>
    <s v="ORD-00127"/>
    <x v="254"/>
    <s v="CUST-0022"/>
    <s v="Customer 022"/>
    <x v="0"/>
    <s v="Tamwe"/>
    <s v="Office Supplies"/>
    <x v="11"/>
    <x v="1"/>
    <n v="233900"/>
    <n v="0.05"/>
    <x v="505"/>
    <n v="-330000"/>
    <n v="-114410"/>
    <s v="Bank Transfer"/>
    <s v="Htet Htet"/>
    <s v="Returned"/>
  </r>
  <r>
    <s v="ORD-00662"/>
    <x v="254"/>
    <s v="CUST-0214"/>
    <s v="Customer 214"/>
    <x v="0"/>
    <s v="Hlaing"/>
    <s v="Electronics"/>
    <x v="5"/>
    <x v="0"/>
    <n v="88900"/>
    <n v="0"/>
    <x v="8"/>
    <n v="0"/>
    <n v="0"/>
    <s v="Wave Money"/>
    <s v="Kyaw Kyaw"/>
    <s v="Cancelled"/>
  </r>
  <r>
    <s v="ORD-00589"/>
    <x v="254"/>
    <s v="CUST-0093"/>
    <s v="Customer 093"/>
    <x v="1"/>
    <s v="Pyinmana"/>
    <s v="Office Supplies"/>
    <x v="13"/>
    <x v="1"/>
    <n v="47900"/>
    <n v="0.05"/>
    <x v="506"/>
    <n v="52000"/>
    <n v="39010"/>
    <s v="Cash"/>
    <s v="Nandar"/>
    <s v="Completed"/>
  </r>
  <r>
    <s v="ORD-00329"/>
    <x v="254"/>
    <s v="CUST-0079"/>
    <s v="Customer 079"/>
    <x v="0"/>
    <s v="Mayangone"/>
    <s v="Electronics"/>
    <x v="8"/>
    <x v="0"/>
    <n v="616100"/>
    <n v="0"/>
    <x v="507"/>
    <n v="2350000"/>
    <n v="730500"/>
    <s v="Bank Transfer"/>
    <s v="Min Min"/>
    <s v="Completed"/>
  </r>
  <r>
    <s v="ORD-00773"/>
    <x v="255"/>
    <s v="CUST-0073"/>
    <s v="Customer 073"/>
    <x v="4"/>
    <s v="Taunggyi"/>
    <s v="Accessories"/>
    <x v="7"/>
    <x v="4"/>
    <n v="32200"/>
    <n v="0.15"/>
    <x v="508"/>
    <n v="54000"/>
    <n v="28110"/>
    <s v="Bank Transfer"/>
    <s v="Su Su"/>
    <s v="Completed"/>
  </r>
  <r>
    <s v="ORD-00780"/>
    <x v="256"/>
    <s v="CUST-0131"/>
    <s v="Customer 131"/>
    <x v="4"/>
    <s v="Taunggyi"/>
    <s v="Electronics"/>
    <x v="5"/>
    <x v="2"/>
    <n v="89000"/>
    <n v="0.05"/>
    <x v="509"/>
    <n v="330000"/>
    <n v="177300"/>
    <s v="KBZ Pay"/>
    <s v="Aung Aung"/>
    <s v="Completed"/>
  </r>
  <r>
    <s v="ORD-00626"/>
    <x v="257"/>
    <s v="CUST-0027"/>
    <s v="Customer 027"/>
    <x v="0"/>
    <s v="Mayangone"/>
    <s v="Accessories"/>
    <x v="7"/>
    <x v="4"/>
    <n v="33300"/>
    <n v="0"/>
    <x v="510"/>
    <n v="54000"/>
    <n v="45900"/>
    <s v="KBZ Pay"/>
    <s v="Kyaw Kyaw"/>
    <s v="Completed"/>
  </r>
  <r>
    <s v="ORD-00623"/>
    <x v="258"/>
    <s v="CUST-0141"/>
    <s v="Customer 141"/>
    <x v="1"/>
    <s v="Pyinmana"/>
    <s v="Office Supplies"/>
    <x v="13"/>
    <x v="0"/>
    <n v="45000"/>
    <n v="0"/>
    <x v="511"/>
    <n v="130000"/>
    <n v="95000"/>
    <s v="Wave Money"/>
    <s v="Min Min"/>
    <s v="Completed"/>
  </r>
  <r>
    <s v="ORD-00063"/>
    <x v="258"/>
    <s v="CUST-0111"/>
    <s v="Customer 111"/>
    <x v="3"/>
    <s v="Bago"/>
    <s v="Accessories"/>
    <x v="7"/>
    <x v="1"/>
    <n v="31100"/>
    <n v="0.05"/>
    <x v="512"/>
    <n v="36000"/>
    <n v="23090"/>
    <s v="Wave Money"/>
    <s v="Aung Aung"/>
    <s v="Completed"/>
  </r>
  <r>
    <s v="ORD-00053"/>
    <x v="258"/>
    <s v="CUST-0060"/>
    <s v="Customer 060"/>
    <x v="4"/>
    <s v="Lashio"/>
    <s v="Office Supplies"/>
    <x v="11"/>
    <x v="0"/>
    <n v="231500"/>
    <n v="0"/>
    <x v="513"/>
    <n v="825000"/>
    <n v="332500"/>
    <s v="KBZ Pay"/>
    <s v="Su Su"/>
    <s v="Completed"/>
  </r>
  <r>
    <s v="ORD-00920"/>
    <x v="259"/>
    <s v="CUST-0072"/>
    <s v="Customer 072"/>
    <x v="2"/>
    <s v="Mandalay"/>
    <s v="Office Supplies"/>
    <x v="4"/>
    <x v="4"/>
    <n v="349700"/>
    <n v="0.05"/>
    <x v="514"/>
    <n v="840000"/>
    <n v="156645"/>
    <s v="KBZ Pay"/>
    <s v="Htet Htet"/>
    <s v="Completed"/>
  </r>
  <r>
    <s v="ORD-00299"/>
    <x v="260"/>
    <s v="CUST-0115"/>
    <s v="Customer 115"/>
    <x v="0"/>
    <s v="Yangon"/>
    <s v="Accessories"/>
    <x v="14"/>
    <x v="5"/>
    <n v="71600"/>
    <n v="0"/>
    <x v="515"/>
    <n v="301000"/>
    <n v="200200"/>
    <s v="Credit Card"/>
    <s v="Thiri"/>
    <s v="Completed"/>
  </r>
  <r>
    <s v="ORD-00867"/>
    <x v="260"/>
    <s v="CUST-0245"/>
    <s v="Customer 245"/>
    <x v="0"/>
    <s v="Mayangone"/>
    <s v="Accessories"/>
    <x v="10"/>
    <x v="5"/>
    <n v="96700"/>
    <n v="0.05"/>
    <x v="516"/>
    <n v="406000"/>
    <n v="237055"/>
    <s v="KBZ Pay"/>
    <s v="Su Su"/>
    <s v="Completed"/>
  </r>
  <r>
    <s v="ORD-00582"/>
    <x v="260"/>
    <s v="CUST-0069"/>
    <s v="Customer 069"/>
    <x v="2"/>
    <s v="Mandalay"/>
    <s v="Office Supplies"/>
    <x v="11"/>
    <x v="1"/>
    <n v="225600"/>
    <n v="0.02"/>
    <x v="517"/>
    <n v="330000"/>
    <n v="112176"/>
    <s v="Wave Money"/>
    <s v="Nandar"/>
    <s v="Completed"/>
  </r>
  <r>
    <s v="ORD-00945"/>
    <x v="260"/>
    <s v="CUST-0049"/>
    <s v="Customer 049"/>
    <x v="1"/>
    <s v="Zabuthiri"/>
    <s v="Office Supplies"/>
    <x v="1"/>
    <x v="0"/>
    <n v="25900"/>
    <n v="0.05"/>
    <x v="518"/>
    <n v="75000"/>
    <n v="48025"/>
    <s v="Bank Transfer"/>
    <s v="Aung Aung"/>
    <s v="Completed"/>
  </r>
  <r>
    <s v="ORD-00799"/>
    <x v="261"/>
    <s v="CUST-0112"/>
    <s v="Customer 112"/>
    <x v="3"/>
    <s v="Pyay"/>
    <s v="Furniture"/>
    <x v="2"/>
    <x v="3"/>
    <n v="502600"/>
    <n v="0.02"/>
    <x v="519"/>
    <n v="365000"/>
    <n v="127548"/>
    <s v="Cash"/>
    <s v="Kyaw Kyaw"/>
    <s v="Completed"/>
  </r>
  <r>
    <s v="ORD-00846"/>
    <x v="261"/>
    <s v="CUST-0195"/>
    <s v="Customer 195"/>
    <x v="2"/>
    <s v="Mandalay"/>
    <s v="Accessories"/>
    <x v="10"/>
    <x v="3"/>
    <n v="94500"/>
    <n v="0"/>
    <x v="520"/>
    <n v="58000"/>
    <n v="36500"/>
    <s v="Wave Money"/>
    <s v="May Zin"/>
    <s v="Completed"/>
  </r>
  <r>
    <s v="ORD-00949"/>
    <x v="261"/>
    <s v="CUST-0078"/>
    <s v="Customer 078"/>
    <x v="0"/>
    <s v="Hlaing"/>
    <s v="Electronics"/>
    <x v="0"/>
    <x v="1"/>
    <n v="394000"/>
    <n v="0"/>
    <x v="521"/>
    <n v="600000"/>
    <n v="188000"/>
    <s v="Bank Transfer"/>
    <s v="Aung Aung"/>
    <s v="Completed"/>
  </r>
  <r>
    <s v="ORD-00239"/>
    <x v="262"/>
    <s v="CUST-0062"/>
    <s v="Customer 062"/>
    <x v="1"/>
    <s v="Pyinmana"/>
    <s v="Accessories"/>
    <x v="10"/>
    <x v="1"/>
    <n v="92400"/>
    <n v="0.05"/>
    <x v="522"/>
    <n v="-116000"/>
    <n v="-59560"/>
    <s v="Bank Transfer"/>
    <s v="Aung Aung"/>
    <s v="Returned"/>
  </r>
  <r>
    <s v="ORD-00669"/>
    <x v="263"/>
    <s v="CUST-0240"/>
    <s v="Customer 240"/>
    <x v="0"/>
    <s v="Mayangone"/>
    <s v="Electronics"/>
    <x v="5"/>
    <x v="4"/>
    <n v="88000"/>
    <n v="0.1"/>
    <x v="523"/>
    <n v="165000"/>
    <n v="72600"/>
    <s v="Cash"/>
    <s v="Su Su"/>
    <s v="Completed"/>
  </r>
  <r>
    <s v="ORD-00761"/>
    <x v="263"/>
    <s v="CUST-0043"/>
    <s v="Customer 043"/>
    <x v="0"/>
    <s v="Hlaing"/>
    <s v="Furniture"/>
    <x v="9"/>
    <x v="0"/>
    <n v="177600"/>
    <n v="0.08"/>
    <x v="524"/>
    <n v="-575000"/>
    <n v="-241960"/>
    <s v="KBZ Pay"/>
    <s v="May Zin"/>
    <s v="Returned"/>
  </r>
  <r>
    <s v="ORD-00388"/>
    <x v="264"/>
    <s v="CUST-0218"/>
    <s v="Customer 218"/>
    <x v="0"/>
    <s v="Yangon"/>
    <s v="Office Supplies"/>
    <x v="4"/>
    <x v="3"/>
    <n v="367500"/>
    <n v="0.02"/>
    <x v="525"/>
    <n v="-280000"/>
    <n v="-80150"/>
    <s v="Wave Money"/>
    <s v="May Zin"/>
    <s v="Returned"/>
  </r>
  <r>
    <s v="ORD-00789"/>
    <x v="264"/>
    <s v="CUST-0061"/>
    <s v="Customer 061"/>
    <x v="0"/>
    <s v="Tamwe"/>
    <s v="Office Supplies"/>
    <x v="4"/>
    <x v="4"/>
    <n v="391200"/>
    <n v="0.08"/>
    <x v="526"/>
    <n v="840000"/>
    <n v="239712"/>
    <s v="KBZ Pay"/>
    <s v="May Zin"/>
    <s v="Completed"/>
  </r>
  <r>
    <s v="ORD-00684"/>
    <x v="264"/>
    <s v="CUST-0114"/>
    <s v="Customer 114"/>
    <x v="4"/>
    <s v="Lashio"/>
    <s v="Office Supplies"/>
    <x v="11"/>
    <x v="5"/>
    <n v="256100"/>
    <n v="0.05"/>
    <x v="527"/>
    <n v="1155000"/>
    <n v="548065"/>
    <s v="Bank Transfer"/>
    <s v="Htet Htet"/>
    <s v="Completed"/>
  </r>
  <r>
    <s v="ORD-00749"/>
    <x v="265"/>
    <s v="CUST-0057"/>
    <s v="Customer 057"/>
    <x v="4"/>
    <s v="Taunggyi"/>
    <s v="Furniture"/>
    <x v="6"/>
    <x v="4"/>
    <n v="318000"/>
    <n v="0.02"/>
    <x v="528"/>
    <n v="630000"/>
    <n v="304920"/>
    <s v="Wave Money"/>
    <s v="Nandar"/>
    <s v="Completed"/>
  </r>
  <r>
    <s v="ORD-00232"/>
    <x v="265"/>
    <s v="CUST-0163"/>
    <s v="Customer 163"/>
    <x v="1"/>
    <s v="Naypyidaw"/>
    <s v="Office Supplies"/>
    <x v="11"/>
    <x v="2"/>
    <n v="249100"/>
    <n v="0.08"/>
    <x v="529"/>
    <n v="990000"/>
    <n v="385032"/>
    <s v="Wave Money"/>
    <s v="Aung Aung"/>
    <s v="Completed"/>
  </r>
  <r>
    <s v="ORD-00813"/>
    <x v="265"/>
    <s v="CUST-0135"/>
    <s v="Customer 135"/>
    <x v="3"/>
    <s v="Pyay"/>
    <s v="Accessories"/>
    <x v="12"/>
    <x v="0"/>
    <n v="87300"/>
    <n v="0"/>
    <x v="530"/>
    <n v="260000"/>
    <n v="176500"/>
    <s v="Cash"/>
    <s v="Kyaw Kyaw"/>
    <s v="Completed"/>
  </r>
  <r>
    <s v="ORD-00670"/>
    <x v="266"/>
    <s v="CUST-0168"/>
    <s v="Customer 168"/>
    <x v="3"/>
    <s v="Pyay"/>
    <s v="Electronics"/>
    <x v="8"/>
    <x v="4"/>
    <n v="691900"/>
    <n v="0"/>
    <x v="531"/>
    <n v="-1410000"/>
    <n v="-665700"/>
    <s v="Wave Money"/>
    <s v="Htet Htet"/>
    <s v="Returned"/>
  </r>
  <r>
    <s v="ORD-00014"/>
    <x v="267"/>
    <s v="CUST-0190"/>
    <s v="Customer 190"/>
    <x v="4"/>
    <s v="Muse"/>
    <s v="Electronics"/>
    <x v="0"/>
    <x v="6"/>
    <n v="410300"/>
    <n v="0.1"/>
    <x v="532"/>
    <n v="1200000"/>
    <n v="277080"/>
    <s v="Wave Money"/>
    <s v="Aung Aung"/>
    <s v="Completed"/>
  </r>
  <r>
    <s v="ORD-00246"/>
    <x v="268"/>
    <s v="CUST-0088"/>
    <s v="Customer 088"/>
    <x v="2"/>
    <s v="Amarapura"/>
    <s v="Office Supplies"/>
    <x v="13"/>
    <x v="2"/>
    <n v="43400"/>
    <n v="0.08"/>
    <x v="533"/>
    <n v="156000"/>
    <n v="83568"/>
    <s v="Cash"/>
    <s v="Thiri"/>
    <s v="Completed"/>
  </r>
  <r>
    <s v="ORD-00091"/>
    <x v="269"/>
    <s v="CUST-0062"/>
    <s v="Customer 062"/>
    <x v="0"/>
    <s v="Yangon"/>
    <s v="Electronics"/>
    <x v="0"/>
    <x v="3"/>
    <n v="407200"/>
    <n v="0.02"/>
    <x v="534"/>
    <n v="300000"/>
    <n v="99056"/>
    <s v="Wave Money"/>
    <s v="Nandar"/>
    <s v="Completed"/>
  </r>
  <r>
    <s v="ORD-00249"/>
    <x v="270"/>
    <s v="CUST-0082"/>
    <s v="Customer 082"/>
    <x v="1"/>
    <s v="Pyinmana"/>
    <s v="Electronics"/>
    <x v="0"/>
    <x v="6"/>
    <n v="432500"/>
    <n v="0"/>
    <x v="535"/>
    <n v="1200000"/>
    <n v="530000"/>
    <s v="Credit Card"/>
    <s v="Thiri"/>
    <s v="Completed"/>
  </r>
  <r>
    <s v="ORD-00313"/>
    <x v="270"/>
    <s v="CUST-0039"/>
    <s v="Customer 039"/>
    <x v="2"/>
    <s v="Amarapura"/>
    <s v="Electronics"/>
    <x v="3"/>
    <x v="4"/>
    <n v="1204300"/>
    <n v="0"/>
    <x v="536"/>
    <n v="2850000"/>
    <n v="762900"/>
    <s v="Credit Card"/>
    <s v="Nandar"/>
    <s v="Completed"/>
  </r>
  <r>
    <s v="ORD-00370"/>
    <x v="270"/>
    <s v="CUST-0143"/>
    <s v="Customer 143"/>
    <x v="1"/>
    <s v="Pyinmana"/>
    <s v="Accessories"/>
    <x v="12"/>
    <x v="1"/>
    <n v="85700"/>
    <n v="0.08"/>
    <x v="537"/>
    <n v="104000"/>
    <n v="53688"/>
    <s v="Cash"/>
    <s v="Nandar"/>
    <s v="Completed"/>
  </r>
  <r>
    <s v="ORD-00815"/>
    <x v="271"/>
    <s v="CUST-0137"/>
    <s v="Customer 137"/>
    <x v="0"/>
    <s v="Mayangone"/>
    <s v="Office Supplies"/>
    <x v="4"/>
    <x v="4"/>
    <n v="391600"/>
    <n v="0.05"/>
    <x v="538"/>
    <n v="840000"/>
    <n v="276060"/>
    <s v="Credit Card"/>
    <s v="Aung Aung"/>
    <s v="Completed"/>
  </r>
  <r>
    <s v="ORD-00005"/>
    <x v="272"/>
    <s v="CUST-0164"/>
    <s v="Customer 164"/>
    <x v="0"/>
    <s v="Mayangone"/>
    <s v="Electronics"/>
    <x v="5"/>
    <x v="5"/>
    <n v="96700"/>
    <n v="0.1"/>
    <x v="539"/>
    <n v="385000"/>
    <n v="224210"/>
    <s v="Cash"/>
    <s v="Su Su"/>
    <s v="Completed"/>
  </r>
  <r>
    <s v="ORD-00066"/>
    <x v="272"/>
    <s v="CUST-0063"/>
    <s v="Customer 063"/>
    <x v="4"/>
    <s v="Taunggyi"/>
    <s v="Office Supplies"/>
    <x v="4"/>
    <x v="4"/>
    <n v="352000"/>
    <n v="0.08"/>
    <x v="540"/>
    <n v="840000"/>
    <n v="131520"/>
    <s v="Wave Money"/>
    <s v="Nandar"/>
    <s v="Completed"/>
  </r>
  <r>
    <s v="ORD-00891"/>
    <x v="273"/>
    <s v="CUST-0149"/>
    <s v="Customer 149"/>
    <x v="0"/>
    <s v="Yangon"/>
    <s v="Furniture"/>
    <x v="6"/>
    <x v="2"/>
    <n v="320500"/>
    <n v="0"/>
    <x v="541"/>
    <n v="1260000"/>
    <n v="663000"/>
    <s v="Credit Card"/>
    <s v="Htet Htet"/>
    <s v="Completed"/>
  </r>
  <r>
    <s v="ORD-00750"/>
    <x v="274"/>
    <s v="CUST-0130"/>
    <s v="Customer 130"/>
    <x v="0"/>
    <s v="Tamwe"/>
    <s v="Electronics"/>
    <x v="5"/>
    <x v="2"/>
    <n v="90600"/>
    <n v="0.02"/>
    <x v="542"/>
    <n v="330000"/>
    <n v="202728"/>
    <s v="KBZ Pay"/>
    <s v="May Zin"/>
    <s v="Completed"/>
  </r>
  <r>
    <s v="ORD-00501"/>
    <x v="274"/>
    <s v="CUST-0054"/>
    <s v="Customer 054"/>
    <x v="2"/>
    <s v="Amarapura"/>
    <s v="Office Supplies"/>
    <x v="1"/>
    <x v="5"/>
    <n v="26300"/>
    <n v="0.05"/>
    <x v="543"/>
    <n v="105000"/>
    <n v="69895"/>
    <s v="Wave Money"/>
    <s v="Su Su"/>
    <s v="Completed"/>
  </r>
  <r>
    <s v="ORD-00195"/>
    <x v="275"/>
    <s v="CUST-0194"/>
    <s v="Customer 194"/>
    <x v="3"/>
    <s v="Taungoo"/>
    <s v="Electronics"/>
    <x v="5"/>
    <x v="6"/>
    <n v="101100"/>
    <n v="0.08"/>
    <x v="544"/>
    <n v="220000"/>
    <n v="152048"/>
    <s v="Cash"/>
    <s v="May Zin"/>
    <s v="Completed"/>
  </r>
  <r>
    <s v="ORD-00579"/>
    <x v="276"/>
    <s v="CUST-0122"/>
    <s v="Customer 122"/>
    <x v="2"/>
    <s v="Mandalay"/>
    <s v="Furniture"/>
    <x v="9"/>
    <x v="2"/>
    <n v="187600"/>
    <n v="0.05"/>
    <x v="545"/>
    <n v="690000"/>
    <n v="379320"/>
    <s v="Credit Card"/>
    <s v="Aung Aung"/>
    <s v="Completed"/>
  </r>
  <r>
    <s v="ORD-00973"/>
    <x v="276"/>
    <s v="CUST-0109"/>
    <s v="Customer 109"/>
    <x v="0"/>
    <s v="Hlaing"/>
    <s v="Electronics"/>
    <x v="5"/>
    <x v="1"/>
    <n v="101500"/>
    <n v="0.08"/>
    <x v="546"/>
    <n v="110000"/>
    <n v="76760"/>
    <s v="Cash"/>
    <s v="Htet Htet"/>
    <s v="Completed"/>
  </r>
  <r>
    <s v="ORD-00765"/>
    <x v="276"/>
    <s v="CUST-0225"/>
    <s v="Customer 225"/>
    <x v="0"/>
    <s v="Mayangone"/>
    <s v="Office Supplies"/>
    <x v="1"/>
    <x v="2"/>
    <n v="28000"/>
    <n v="0"/>
    <x v="547"/>
    <n v="90000"/>
    <n v="78000"/>
    <s v="Wave Money"/>
    <s v="Htet Htet"/>
    <s v="Completed"/>
  </r>
  <r>
    <s v="ORD-00523"/>
    <x v="277"/>
    <s v="CUST-0085"/>
    <s v="Customer 085"/>
    <x v="2"/>
    <s v="Amarapura"/>
    <s v="Furniture"/>
    <x v="6"/>
    <x v="3"/>
    <n v="293200"/>
    <n v="0.15"/>
    <x v="548"/>
    <n v="210000"/>
    <n v="39220"/>
    <s v="Wave Money"/>
    <s v="Thiri"/>
    <s v="Completed"/>
  </r>
  <r>
    <s v="ORD-00478"/>
    <x v="277"/>
    <s v="CUST-0210"/>
    <s v="Customer 210"/>
    <x v="0"/>
    <s v="Tamwe"/>
    <s v="Electronics"/>
    <x v="0"/>
    <x v="3"/>
    <n v="430500"/>
    <n v="0"/>
    <x v="549"/>
    <n v="300000"/>
    <n v="130500"/>
    <s v="Credit Card"/>
    <s v="Nandar"/>
    <s v="Completed"/>
  </r>
  <r>
    <s v="ORD-00156"/>
    <x v="277"/>
    <s v="CUST-0210"/>
    <s v="Customer 210"/>
    <x v="0"/>
    <s v="Tamwe"/>
    <s v="Electronics"/>
    <x v="8"/>
    <x v="3"/>
    <n v="685200"/>
    <n v="0.15"/>
    <x v="550"/>
    <n v="470000"/>
    <n v="112420"/>
    <s v="KBZ Pay"/>
    <s v="Aung Aung"/>
    <s v="Completed"/>
  </r>
  <r>
    <s v="ORD-00704"/>
    <x v="278"/>
    <s v="CUST-0077"/>
    <s v="Customer 077"/>
    <x v="4"/>
    <s v="Lashio"/>
    <s v="Electronics"/>
    <x v="8"/>
    <x v="2"/>
    <n v="640700"/>
    <n v="0.05"/>
    <x v="551"/>
    <n v="2820000"/>
    <n v="831990"/>
    <s v="KBZ Pay"/>
    <s v="Min Min"/>
    <s v="Completed"/>
  </r>
  <r>
    <s v="ORD-00482"/>
    <x v="279"/>
    <s v="CUST-0153"/>
    <s v="Customer 153"/>
    <x v="0"/>
    <s v="Tamwe"/>
    <s v="Office Supplies"/>
    <x v="4"/>
    <x v="6"/>
    <n v="374400"/>
    <n v="0.05"/>
    <x v="552"/>
    <n v="-1120000"/>
    <n v="-302720"/>
    <s v="Credit Card"/>
    <s v="Thiri"/>
    <s v="Returned"/>
  </r>
  <r>
    <s v="ORD-00120"/>
    <x v="280"/>
    <s v="CUST-0009"/>
    <s v="Customer 009"/>
    <x v="0"/>
    <s v="Yangon"/>
    <s v="Office Supplies"/>
    <x v="1"/>
    <x v="6"/>
    <n v="27900"/>
    <n v="0"/>
    <x v="553"/>
    <n v="60000"/>
    <n v="51600"/>
    <s v="KBZ Pay"/>
    <s v="May Zin"/>
    <s v="Completed"/>
  </r>
  <r>
    <s v="ORD-00272"/>
    <x v="281"/>
    <s v="CUST-0102"/>
    <s v="Customer 102"/>
    <x v="0"/>
    <s v="Mayangone"/>
    <s v="Electronics"/>
    <x v="5"/>
    <x v="0"/>
    <n v="101800"/>
    <n v="0"/>
    <x v="8"/>
    <n v="0"/>
    <n v="0"/>
    <s v="Wave Money"/>
    <s v="Nandar"/>
    <s v="Cancelled"/>
  </r>
  <r>
    <s v="ORD-00822"/>
    <x v="282"/>
    <s v="CUST-0036"/>
    <s v="Customer 036"/>
    <x v="0"/>
    <s v="Tamwe"/>
    <s v="Electronics"/>
    <x v="8"/>
    <x v="3"/>
    <n v="657200"/>
    <n v="0.08"/>
    <x v="554"/>
    <n v="470000"/>
    <n v="134624"/>
    <s v="Wave Money"/>
    <s v="Min Min"/>
    <s v="Completed"/>
  </r>
  <r>
    <s v="ORD-00771"/>
    <x v="282"/>
    <s v="CUST-0250"/>
    <s v="Customer 250"/>
    <x v="2"/>
    <s v="Amarapura"/>
    <s v="Accessories"/>
    <x v="14"/>
    <x v="2"/>
    <n v="74900"/>
    <n v="0.05"/>
    <x v="555"/>
    <n v="258000"/>
    <n v="168930"/>
    <s v="Credit Card"/>
    <s v="May Zin"/>
    <s v="Completed"/>
  </r>
  <r>
    <s v="ORD-00678"/>
    <x v="283"/>
    <s v="CUST-0087"/>
    <s v="Customer 087"/>
    <x v="2"/>
    <s v="Amarapura"/>
    <s v="Office Supplies"/>
    <x v="13"/>
    <x v="6"/>
    <n v="43200"/>
    <n v="0.05"/>
    <x v="556"/>
    <n v="104000"/>
    <n v="60160"/>
    <s v="Wave Money"/>
    <s v="Htet Htet"/>
    <s v="Completed"/>
  </r>
  <r>
    <s v="ORD-00294"/>
    <x v="283"/>
    <s v="CUST-0057"/>
    <s v="Customer 057"/>
    <x v="4"/>
    <s v="Muse"/>
    <s v="Furniture"/>
    <x v="2"/>
    <x v="3"/>
    <n v="507100"/>
    <n v="0.1"/>
    <x v="557"/>
    <n v="365000"/>
    <n v="91390"/>
    <s v="Credit Card"/>
    <s v="May Zin"/>
    <s v="Completed"/>
  </r>
  <r>
    <s v="ORD-00158"/>
    <x v="284"/>
    <s v="CUST-0073"/>
    <s v="Customer 073"/>
    <x v="0"/>
    <s v="Mayangone"/>
    <s v="Electronics"/>
    <x v="5"/>
    <x v="2"/>
    <n v="92200"/>
    <n v="0.1"/>
    <x v="8"/>
    <n v="0"/>
    <n v="0"/>
    <s v="Bank Transfer"/>
    <s v="Thiri"/>
    <s v="Cancelled"/>
  </r>
  <r>
    <s v="ORD-00500"/>
    <x v="284"/>
    <s v="CUST-0078"/>
    <s v="Customer 078"/>
    <x v="0"/>
    <s v="Mayangone"/>
    <s v="Office Supplies"/>
    <x v="11"/>
    <x v="2"/>
    <n v="255800"/>
    <n v="0.02"/>
    <x v="558"/>
    <n v="990000"/>
    <n v="514104"/>
    <s v="Credit Card"/>
    <s v="Aung Aung"/>
    <s v="Completed"/>
  </r>
  <r>
    <s v="ORD-00325"/>
    <x v="284"/>
    <s v="CUST-0197"/>
    <s v="Customer 197"/>
    <x v="4"/>
    <s v="Lashio"/>
    <s v="Office Supplies"/>
    <x v="13"/>
    <x v="3"/>
    <n v="42100"/>
    <n v="0.05"/>
    <x v="8"/>
    <n v="0"/>
    <n v="0"/>
    <s v="Cash"/>
    <s v="Su Su"/>
    <s v="Cancelled"/>
  </r>
  <r>
    <s v="ORD-00950"/>
    <x v="285"/>
    <s v="CUST-0056"/>
    <s v="Customer 056"/>
    <x v="4"/>
    <s v="Taunggyi"/>
    <s v="Electronics"/>
    <x v="5"/>
    <x v="6"/>
    <n v="97900"/>
    <n v="0.08"/>
    <x v="559"/>
    <n v="220000"/>
    <n v="140272"/>
    <s v="Credit Card"/>
    <s v="Nandar"/>
    <s v="Completed"/>
  </r>
  <r>
    <s v="ORD-00124"/>
    <x v="286"/>
    <s v="CUST-0249"/>
    <s v="Customer 249"/>
    <x v="0"/>
    <s v="Yangon"/>
    <s v="Furniture"/>
    <x v="2"/>
    <x v="4"/>
    <n v="541000"/>
    <n v="0"/>
    <x v="560"/>
    <n v="-1095000"/>
    <n v="-528000"/>
    <s v="KBZ Pay"/>
    <s v="Min Min"/>
    <s v="Returned"/>
  </r>
  <r>
    <s v="ORD-00214"/>
    <x v="287"/>
    <s v="CUST-0135"/>
    <s v="Customer 135"/>
    <x v="0"/>
    <s v="Tamwe"/>
    <s v="Accessories"/>
    <x v="7"/>
    <x v="6"/>
    <n v="29500"/>
    <n v="0.02"/>
    <x v="561"/>
    <n v="72000"/>
    <n v="43640"/>
    <s v="Credit Card"/>
    <s v="Min Min"/>
    <s v="Completed"/>
  </r>
  <r>
    <s v="ORD-00656"/>
    <x v="287"/>
    <s v="CUST-0248"/>
    <s v="Customer 248"/>
    <x v="0"/>
    <s v="Tamwe"/>
    <s v="Office Supplies"/>
    <x v="13"/>
    <x v="1"/>
    <n v="42200"/>
    <n v="0.1"/>
    <x v="562"/>
    <n v="52000"/>
    <n v="23960"/>
    <s v="Credit Card"/>
    <s v="Su Su"/>
    <s v="Completed"/>
  </r>
  <r>
    <s v="ORD-00391"/>
    <x v="287"/>
    <s v="CUST-0227"/>
    <s v="Customer 227"/>
    <x v="2"/>
    <s v="Chanmyathazi"/>
    <s v="Office Supplies"/>
    <x v="13"/>
    <x v="3"/>
    <n v="47500"/>
    <n v="0.1"/>
    <x v="8"/>
    <n v="0"/>
    <n v="0"/>
    <s v="Credit Card"/>
    <s v="Min Min"/>
    <s v="Cancelled"/>
  </r>
  <r>
    <s v="ORD-00536"/>
    <x v="287"/>
    <s v="CUST-0103"/>
    <s v="Customer 103"/>
    <x v="0"/>
    <s v="Hlaing"/>
    <s v="Electronics"/>
    <x v="8"/>
    <x v="3"/>
    <n v="610600"/>
    <n v="0.02"/>
    <x v="563"/>
    <n v="470000"/>
    <n v="128388"/>
    <s v="Credit Card"/>
    <s v="Htet Htet"/>
    <s v="Completed"/>
  </r>
  <r>
    <s v="ORD-00942"/>
    <x v="287"/>
    <s v="CUST-0199"/>
    <s v="Customer 199"/>
    <x v="0"/>
    <s v="Hlaing"/>
    <s v="Furniture"/>
    <x v="9"/>
    <x v="2"/>
    <n v="187700"/>
    <n v="0"/>
    <x v="564"/>
    <n v="690000"/>
    <n v="436200"/>
    <s v="Bank Transfer"/>
    <s v="Nandar"/>
    <s v="Completed"/>
  </r>
  <r>
    <s v="ORD-00048"/>
    <x v="288"/>
    <s v="CUST-0189"/>
    <s v="Customer 189"/>
    <x v="0"/>
    <s v="Mayangone"/>
    <s v="Electronics"/>
    <x v="0"/>
    <x v="3"/>
    <n v="426200"/>
    <n v="0.02"/>
    <x v="565"/>
    <n v="300000"/>
    <n v="117676"/>
    <s v="Wave Money"/>
    <s v="Htet Htet"/>
    <s v="Completed"/>
  </r>
  <r>
    <s v="ORD-00667"/>
    <x v="289"/>
    <s v="CUST-0106"/>
    <s v="Customer 106"/>
    <x v="0"/>
    <s v="Mayangone"/>
    <s v="Electronics"/>
    <x v="5"/>
    <x v="4"/>
    <n v="93800"/>
    <n v="0.02"/>
    <x v="566"/>
    <n v="165000"/>
    <n v="110772"/>
    <s v="KBZ Pay"/>
    <s v="Min Min"/>
    <s v="Completed"/>
  </r>
  <r>
    <s v="ORD-00560"/>
    <x v="289"/>
    <s v="CUST-0249"/>
    <s v="Customer 249"/>
    <x v="1"/>
    <s v="Pyinmana"/>
    <s v="Office Supplies"/>
    <x v="11"/>
    <x v="2"/>
    <n v="235600"/>
    <n v="0.15"/>
    <x v="567"/>
    <n v="990000"/>
    <n v="211560"/>
    <s v="KBZ Pay"/>
    <s v="Su Su"/>
    <s v="Completed"/>
  </r>
  <r>
    <s v="ORD-00356"/>
    <x v="290"/>
    <s v="CUST-0009"/>
    <s v="Customer 009"/>
    <x v="1"/>
    <s v="Pyinmana"/>
    <s v="Furniture"/>
    <x v="6"/>
    <x v="4"/>
    <n v="318500"/>
    <n v="0.05"/>
    <x v="568"/>
    <n v="630000"/>
    <n v="277725"/>
    <s v="Credit Card"/>
    <s v="May Zin"/>
    <s v="Completed"/>
  </r>
  <r>
    <s v="ORD-00451"/>
    <x v="291"/>
    <s v="CUST-0068"/>
    <s v="Customer 068"/>
    <x v="2"/>
    <s v="Mandalay"/>
    <s v="Accessories"/>
    <x v="10"/>
    <x v="4"/>
    <n v="84800"/>
    <n v="0.1"/>
    <x v="569"/>
    <n v="174000"/>
    <n v="54960"/>
    <s v="Bank Transfer"/>
    <s v="Aung Aung"/>
    <s v="Completed"/>
  </r>
  <r>
    <s v="ORD-00071"/>
    <x v="291"/>
    <s v="CUST-0198"/>
    <s v="Customer 198"/>
    <x v="2"/>
    <s v="Amarapura"/>
    <s v="Electronics"/>
    <x v="8"/>
    <x v="6"/>
    <n v="665200"/>
    <n v="0.05"/>
    <x v="570"/>
    <n v="1880000"/>
    <n v="647760"/>
    <s v="Bank Transfer"/>
    <s v="Thiri"/>
    <s v="Completed"/>
  </r>
  <r>
    <s v="ORD-00719"/>
    <x v="292"/>
    <s v="CUST-0161"/>
    <s v="Customer 161"/>
    <x v="0"/>
    <s v="Tamwe"/>
    <s v="Furniture"/>
    <x v="6"/>
    <x v="3"/>
    <n v="313700"/>
    <n v="0.08"/>
    <x v="571"/>
    <n v="210000"/>
    <n v="78604"/>
    <s v="Bank Transfer"/>
    <s v="Su Su"/>
    <s v="Completed"/>
  </r>
  <r>
    <s v="ORD-00344"/>
    <x v="293"/>
    <s v="CUST-0158"/>
    <s v="Customer 158"/>
    <x v="0"/>
    <s v="Tamwe"/>
    <s v="Office Supplies"/>
    <x v="1"/>
    <x v="0"/>
    <n v="29000"/>
    <n v="0.08"/>
    <x v="572"/>
    <n v="75000"/>
    <n v="58400"/>
    <s v="Cash"/>
    <s v="Aung Aung"/>
    <s v="Completed"/>
  </r>
  <r>
    <s v="ORD-00961"/>
    <x v="294"/>
    <s v="CUST-0085"/>
    <s v="Customer 085"/>
    <x v="2"/>
    <s v="Mandalay"/>
    <s v="Office Supplies"/>
    <x v="11"/>
    <x v="0"/>
    <n v="242300"/>
    <n v="0.05"/>
    <x v="573"/>
    <n v="825000"/>
    <n v="325925"/>
    <s v="Bank Transfer"/>
    <s v="Thiri"/>
    <s v="Completed"/>
  </r>
  <r>
    <s v="ORD-00620"/>
    <x v="295"/>
    <s v="CUST-0218"/>
    <s v="Customer 218"/>
    <x v="4"/>
    <s v="Taunggyi"/>
    <s v="Accessories"/>
    <x v="10"/>
    <x v="3"/>
    <n v="87100"/>
    <n v="0"/>
    <x v="574"/>
    <n v="58000"/>
    <n v="29100"/>
    <s v="Wave Money"/>
    <s v="Aung Aung"/>
    <s v="Completed"/>
  </r>
  <r>
    <s v="ORD-00108"/>
    <x v="295"/>
    <s v="CUST-0016"/>
    <s v="Customer 016"/>
    <x v="1"/>
    <s v="Naypyidaw"/>
    <s v="Accessories"/>
    <x v="10"/>
    <x v="5"/>
    <n v="92800"/>
    <n v="0"/>
    <x v="575"/>
    <n v="406000"/>
    <n v="243600"/>
    <s v="KBZ Pay"/>
    <s v="May Zin"/>
    <s v="Completed"/>
  </r>
  <r>
    <s v="ORD-00254"/>
    <x v="296"/>
    <s v="CUST-0048"/>
    <s v="Customer 048"/>
    <x v="2"/>
    <s v="Amarapura"/>
    <s v="Furniture"/>
    <x v="9"/>
    <x v="4"/>
    <n v="178600"/>
    <n v="0.05"/>
    <x v="576"/>
    <n v="345000"/>
    <n v="164010"/>
    <s v="Wave Money"/>
    <s v="Nandar"/>
    <s v="Completed"/>
  </r>
  <r>
    <s v="ORD-00025"/>
    <x v="296"/>
    <s v="CUST-0028"/>
    <s v="Customer 028"/>
    <x v="0"/>
    <s v="Hlaing"/>
    <s v="Accessories"/>
    <x v="7"/>
    <x v="4"/>
    <n v="34000"/>
    <n v="0.05"/>
    <x v="577"/>
    <n v="54000"/>
    <n v="42900"/>
    <s v="Cash"/>
    <s v="May Zin"/>
    <s v="Completed"/>
  </r>
  <r>
    <s v="ORD-00717"/>
    <x v="297"/>
    <s v="CUST-0124"/>
    <s v="Customer 124"/>
    <x v="1"/>
    <s v="Pyinmana"/>
    <s v="Electronics"/>
    <x v="8"/>
    <x v="2"/>
    <n v="683100"/>
    <n v="0.1"/>
    <x v="578"/>
    <n v="2820000"/>
    <n v="868740"/>
    <s v="Credit Card"/>
    <s v="Nandar"/>
    <s v="Completed"/>
  </r>
  <r>
    <s v="ORD-00873"/>
    <x v="297"/>
    <s v="CUST-0095"/>
    <s v="Customer 095"/>
    <x v="1"/>
    <s v="Pyinmana"/>
    <s v="Furniture"/>
    <x v="9"/>
    <x v="4"/>
    <n v="185100"/>
    <n v="0.05"/>
    <x v="579"/>
    <n v="345000"/>
    <n v="182535"/>
    <s v="Cash"/>
    <s v="Aung Aung"/>
    <s v="Completed"/>
  </r>
  <r>
    <s v="ORD-00072"/>
    <x v="298"/>
    <s v="CUST-0247"/>
    <s v="Customer 247"/>
    <x v="0"/>
    <s v="Hlaing"/>
    <s v="Electronics"/>
    <x v="8"/>
    <x v="5"/>
    <n v="648700"/>
    <n v="0.1"/>
    <x v="580"/>
    <n v="3290000"/>
    <n v="796810"/>
    <s v="Cash"/>
    <s v="Min Min"/>
    <s v="Completed"/>
  </r>
  <r>
    <s v="ORD-00705"/>
    <x v="298"/>
    <s v="CUST-0172"/>
    <s v="Customer 172"/>
    <x v="2"/>
    <s v="Chanmyathazi"/>
    <s v="Office Supplies"/>
    <x v="1"/>
    <x v="3"/>
    <n v="29100"/>
    <n v="0.02"/>
    <x v="581"/>
    <n v="15000"/>
    <n v="13518"/>
    <s v="Credit Card"/>
    <s v="Thiri"/>
    <s v="Completed"/>
  </r>
  <r>
    <s v="ORD-00541"/>
    <x v="299"/>
    <s v="CUST-0126"/>
    <s v="Customer 126"/>
    <x v="0"/>
    <s v="Tamwe"/>
    <s v="Furniture"/>
    <x v="2"/>
    <x v="1"/>
    <n v="534400"/>
    <n v="0.02"/>
    <x v="582"/>
    <n v="730000"/>
    <n v="317424"/>
    <s v="Cash"/>
    <s v="May Zin"/>
    <s v="Completed"/>
  </r>
  <r>
    <s v="ORD-00890"/>
    <x v="300"/>
    <s v="CUST-0236"/>
    <s v="Customer 236"/>
    <x v="0"/>
    <s v="Yangon"/>
    <s v="Accessories"/>
    <x v="14"/>
    <x v="1"/>
    <n v="80200"/>
    <n v="0.02"/>
    <x v="583"/>
    <n v="86000"/>
    <n v="71192"/>
    <s v="KBZ Pay"/>
    <s v="May Zin"/>
    <s v="Completed"/>
  </r>
  <r>
    <s v="ORD-00094"/>
    <x v="301"/>
    <s v="CUST-0072"/>
    <s v="Customer 072"/>
    <x v="3"/>
    <s v="Pyay"/>
    <s v="Electronics"/>
    <x v="8"/>
    <x v="5"/>
    <n v="666500"/>
    <n v="0"/>
    <x v="584"/>
    <n v="3290000"/>
    <n v="1375500"/>
    <s v="Wave Money"/>
    <s v="Kyaw Kyaw"/>
    <s v="Completed"/>
  </r>
  <r>
    <s v="ORD-00167"/>
    <x v="302"/>
    <s v="CUST-0026"/>
    <s v="Customer 026"/>
    <x v="0"/>
    <s v="Yangon"/>
    <s v="Office Supplies"/>
    <x v="1"/>
    <x v="0"/>
    <n v="28500"/>
    <n v="0.08"/>
    <x v="585"/>
    <n v="-75000"/>
    <n v="-56100"/>
    <s v="Cash"/>
    <s v="Aung Aung"/>
    <s v="Returned"/>
  </r>
  <r>
    <s v="ORD-00252"/>
    <x v="303"/>
    <s v="CUST-0101"/>
    <s v="Customer 101"/>
    <x v="2"/>
    <s v="Amarapura"/>
    <s v="Electronics"/>
    <x v="8"/>
    <x v="6"/>
    <n v="628700"/>
    <n v="0.05"/>
    <x v="586"/>
    <n v="1880000"/>
    <n v="509060"/>
    <s v="KBZ Pay"/>
    <s v="Thiri"/>
    <s v="Completed"/>
  </r>
  <r>
    <s v="ORD-00643"/>
    <x v="303"/>
    <s v="CUST-0116"/>
    <s v="Customer 116"/>
    <x v="1"/>
    <s v="Pyinmana"/>
    <s v="Electronics"/>
    <x v="5"/>
    <x v="2"/>
    <n v="100600"/>
    <n v="0.05"/>
    <x v="587"/>
    <n v="330000"/>
    <n v="243420"/>
    <s v="KBZ Pay"/>
    <s v="Htet Htet"/>
    <s v="Completed"/>
  </r>
  <r>
    <s v="ORD-00805"/>
    <x v="303"/>
    <s v="CUST-0161"/>
    <s v="Customer 161"/>
    <x v="1"/>
    <s v="Zabuthiri"/>
    <s v="Office Supplies"/>
    <x v="4"/>
    <x v="1"/>
    <n v="365400"/>
    <n v="0"/>
    <x v="588"/>
    <n v="560000"/>
    <n v="170800"/>
    <s v="Wave Money"/>
    <s v="Nandar"/>
    <s v="Completed"/>
  </r>
  <r>
    <s v="ORD-00006"/>
    <x v="304"/>
    <s v="CUST-0190"/>
    <s v="Customer 190"/>
    <x v="0"/>
    <s v="Hlaing"/>
    <s v="Electronics"/>
    <x v="5"/>
    <x v="2"/>
    <n v="87900"/>
    <n v="0.1"/>
    <x v="589"/>
    <n v="330000"/>
    <n v="144660"/>
    <s v="KBZ Pay"/>
    <s v="Htet Htet"/>
    <s v="Completed"/>
  </r>
  <r>
    <s v="ORD-00498"/>
    <x v="305"/>
    <s v="CUST-0124"/>
    <s v="Customer 124"/>
    <x v="4"/>
    <s v="Muse"/>
    <s v="Furniture"/>
    <x v="9"/>
    <x v="4"/>
    <n v="189800"/>
    <n v="0.08"/>
    <x v="590"/>
    <n v="345000"/>
    <n v="178848"/>
    <s v="Cash"/>
    <s v="Nandar"/>
    <s v="Completed"/>
  </r>
  <r>
    <s v="ORD-00362"/>
    <x v="306"/>
    <s v="CUST-0176"/>
    <s v="Customer 176"/>
    <x v="0"/>
    <s v="Tamwe"/>
    <s v="Electronics"/>
    <x v="3"/>
    <x v="0"/>
    <n v="1327700"/>
    <n v="0.08"/>
    <x v="591"/>
    <n v="4750000"/>
    <n v="1357420"/>
    <s v="KBZ Pay"/>
    <s v="Kyaw Kyaw"/>
    <s v="Completed"/>
  </r>
  <r>
    <s v="ORD-00622"/>
    <x v="307"/>
    <s v="CUST-0058"/>
    <s v="Customer 058"/>
    <x v="0"/>
    <s v="Hlaing"/>
    <s v="Electronics"/>
    <x v="5"/>
    <x v="5"/>
    <n v="96200"/>
    <n v="0.1"/>
    <x v="592"/>
    <n v="385000"/>
    <n v="221060"/>
    <s v="Bank Transfer"/>
    <s v="Su Su"/>
    <s v="Completed"/>
  </r>
  <r>
    <s v="ORD-00972"/>
    <x v="308"/>
    <s v="CUST-0120"/>
    <s v="Customer 120"/>
    <x v="1"/>
    <s v="Pyinmana"/>
    <s v="Electronics"/>
    <x v="5"/>
    <x v="6"/>
    <n v="101200"/>
    <n v="0.08"/>
    <x v="593"/>
    <n v="220000"/>
    <n v="152416"/>
    <s v="KBZ Pay"/>
    <s v="Kyaw Kyaw"/>
    <s v="Completed"/>
  </r>
  <r>
    <s v="ORD-00042"/>
    <x v="308"/>
    <s v="CUST-0012"/>
    <s v="Customer 012"/>
    <x v="2"/>
    <s v="Chanmyathazi"/>
    <s v="Accessories"/>
    <x v="10"/>
    <x v="6"/>
    <n v="88200"/>
    <n v="0.08"/>
    <x v="594"/>
    <n v="232000"/>
    <n v="92576"/>
    <s v="Bank Transfer"/>
    <s v="Aung Aung"/>
    <s v="Completed"/>
  </r>
  <r>
    <s v="ORD-00996"/>
    <x v="309"/>
    <s v="CUST-0052"/>
    <s v="Customer 052"/>
    <x v="2"/>
    <s v="Amarapura"/>
    <s v="Office Supplies"/>
    <x v="4"/>
    <x v="4"/>
    <n v="398500"/>
    <n v="0.02"/>
    <x v="595"/>
    <n v="840000"/>
    <n v="331590"/>
    <s v="Wave Money"/>
    <s v="Su Su"/>
    <s v="Completed"/>
  </r>
  <r>
    <s v="ORD-00442"/>
    <x v="310"/>
    <s v="CUST-0098"/>
    <s v="Customer 098"/>
    <x v="0"/>
    <s v="Yangon"/>
    <s v="Furniture"/>
    <x v="6"/>
    <x v="5"/>
    <n v="291500"/>
    <n v="0.08"/>
    <x v="596"/>
    <n v="-1470000"/>
    <n v="-407260"/>
    <s v="Credit Card"/>
    <s v="Thiri"/>
    <s v="Returned"/>
  </r>
  <r>
    <s v="ORD-00085"/>
    <x v="310"/>
    <s v="CUST-0133"/>
    <s v="Customer 133"/>
    <x v="4"/>
    <s v="Lashio"/>
    <s v="Electronics"/>
    <x v="3"/>
    <x v="5"/>
    <n v="1295200"/>
    <n v="0.05"/>
    <x v="597"/>
    <n v="6650000"/>
    <n v="1963080"/>
    <s v="Credit Card"/>
    <s v="Nandar"/>
    <s v="Completed"/>
  </r>
  <r>
    <s v="ORD-00045"/>
    <x v="310"/>
    <s v="CUST-0167"/>
    <s v="Customer 167"/>
    <x v="0"/>
    <s v="Tamwe"/>
    <s v="Electronics"/>
    <x v="3"/>
    <x v="5"/>
    <n v="1306300"/>
    <n v="0"/>
    <x v="598"/>
    <n v="-6650000"/>
    <n v="-2494100"/>
    <s v="KBZ Pay"/>
    <s v="Kyaw Kyaw"/>
    <s v="Returned"/>
  </r>
  <r>
    <s v="ORD-00044"/>
    <x v="310"/>
    <s v="CUST-0069"/>
    <s v="Customer 069"/>
    <x v="4"/>
    <s v="Muse"/>
    <s v="Electronics"/>
    <x v="0"/>
    <x v="6"/>
    <n v="450200"/>
    <n v="0.15"/>
    <x v="599"/>
    <n v="1200000"/>
    <n v="330680"/>
    <s v="Bank Transfer"/>
    <s v="Min Min"/>
    <s v="Completed"/>
  </r>
  <r>
    <s v="ORD-00549"/>
    <x v="311"/>
    <s v="CUST-0160"/>
    <s v="Customer 160"/>
    <x v="1"/>
    <s v="Zabuthiri"/>
    <s v="Furniture"/>
    <x v="6"/>
    <x v="0"/>
    <n v="300900"/>
    <n v="0.1"/>
    <x v="600"/>
    <n v="1050000"/>
    <n v="304050"/>
    <s v="Credit Card"/>
    <s v="Min Min"/>
    <s v="Completed"/>
  </r>
  <r>
    <s v="ORD-00537"/>
    <x v="311"/>
    <s v="CUST-0006"/>
    <s v="Customer 006"/>
    <x v="1"/>
    <s v="Naypyidaw"/>
    <s v="Office Supplies"/>
    <x v="11"/>
    <x v="1"/>
    <n v="248700"/>
    <n v="0.1"/>
    <x v="601"/>
    <n v="330000"/>
    <n v="117660"/>
    <s v="KBZ Pay"/>
    <s v="Nandar"/>
    <s v="Completed"/>
  </r>
  <r>
    <s v="ORD-00112"/>
    <x v="311"/>
    <s v="CUST-0141"/>
    <s v="Customer 141"/>
    <x v="1"/>
    <s v="Naypyidaw"/>
    <s v="Office Supplies"/>
    <x v="13"/>
    <x v="1"/>
    <n v="41600"/>
    <n v="0.1"/>
    <x v="602"/>
    <n v="52000"/>
    <n v="22880"/>
    <s v="Bank Transfer"/>
    <s v="Su Su"/>
    <s v="Completed"/>
  </r>
  <r>
    <s v="ORD-00512"/>
    <x v="312"/>
    <s v="CUST-0114"/>
    <s v="Customer 114"/>
    <x v="1"/>
    <s v="Pyinmana"/>
    <s v="Furniture"/>
    <x v="9"/>
    <x v="4"/>
    <n v="183900"/>
    <n v="0"/>
    <x v="603"/>
    <n v="345000"/>
    <n v="206700"/>
    <s v="Wave Money"/>
    <s v="Thiri"/>
    <s v="Completed"/>
  </r>
  <r>
    <s v="ORD-00287"/>
    <x v="312"/>
    <s v="CUST-0228"/>
    <s v="Customer 228"/>
    <x v="2"/>
    <s v="Mandalay"/>
    <s v="Furniture"/>
    <x v="9"/>
    <x v="3"/>
    <n v="191700"/>
    <n v="0.02"/>
    <x v="604"/>
    <n v="115000"/>
    <n v="72866"/>
    <s v="Cash"/>
    <s v="Su Su"/>
    <s v="Completed"/>
  </r>
  <r>
    <s v="ORD-00984"/>
    <x v="312"/>
    <s v="CUST-0182"/>
    <s v="Customer 182"/>
    <x v="3"/>
    <s v="Taungoo"/>
    <s v="Accessories"/>
    <x v="7"/>
    <x v="2"/>
    <n v="32000"/>
    <n v="0.08"/>
    <x v="605"/>
    <n v="108000"/>
    <n v="68640"/>
    <s v="Credit Card"/>
    <s v="Thiri"/>
    <s v="Completed"/>
  </r>
  <r>
    <s v="ORD-00427"/>
    <x v="313"/>
    <s v="CUST-0019"/>
    <s v="Customer 019"/>
    <x v="0"/>
    <s v="Tamwe"/>
    <s v="Electronics"/>
    <x v="5"/>
    <x v="0"/>
    <n v="94100"/>
    <n v="0.02"/>
    <x v="606"/>
    <n v="275000"/>
    <n v="186090"/>
    <s v="Credit Card"/>
    <s v="Thiri"/>
    <s v="Completed"/>
  </r>
  <r>
    <s v="ORD-00365"/>
    <x v="313"/>
    <s v="CUST-0048"/>
    <s v="Customer 048"/>
    <x v="2"/>
    <s v="Mandalay"/>
    <s v="Accessories"/>
    <x v="14"/>
    <x v="4"/>
    <n v="79200"/>
    <n v="0.05"/>
    <x v="607"/>
    <n v="129000"/>
    <n v="96720"/>
    <s v="Credit Card"/>
    <s v="Thiri"/>
    <s v="Completed"/>
  </r>
  <r>
    <s v="ORD-00844"/>
    <x v="313"/>
    <s v="CUST-0173"/>
    <s v="Customer 173"/>
    <x v="0"/>
    <s v="Hlaing"/>
    <s v="Electronics"/>
    <x v="5"/>
    <x v="2"/>
    <n v="89700"/>
    <n v="0.05"/>
    <x v="40"/>
    <n v="330000"/>
    <n v="181290"/>
    <s v="Credit Card"/>
    <s v="Kyaw Kyaw"/>
    <s v="Completed"/>
  </r>
  <r>
    <s v="ORD-00706"/>
    <x v="314"/>
    <s v="CUST-0198"/>
    <s v="Customer 198"/>
    <x v="2"/>
    <s v="Mandalay"/>
    <s v="Office Supplies"/>
    <x v="11"/>
    <x v="4"/>
    <n v="240800"/>
    <n v="0.05"/>
    <x v="608"/>
    <n v="495000"/>
    <n v="191280"/>
    <s v="Credit Card"/>
    <s v="Htet Htet"/>
    <s v="Completed"/>
  </r>
  <r>
    <s v="ORD-00109"/>
    <x v="314"/>
    <s v="CUST-0059"/>
    <s v="Customer 059"/>
    <x v="0"/>
    <s v="Yangon"/>
    <s v="Office Supplies"/>
    <x v="1"/>
    <x v="2"/>
    <n v="26300"/>
    <n v="0.08"/>
    <x v="609"/>
    <n v="90000"/>
    <n v="55176"/>
    <s v="KBZ Pay"/>
    <s v="May Zin"/>
    <s v="Completed"/>
  </r>
  <r>
    <s v="ORD-00836"/>
    <x v="315"/>
    <s v="CUST-0145"/>
    <s v="Customer 145"/>
    <x v="2"/>
    <s v="Chanmyathazi"/>
    <s v="Office Supplies"/>
    <x v="11"/>
    <x v="1"/>
    <n v="256900"/>
    <n v="0.1"/>
    <x v="610"/>
    <n v="330000"/>
    <n v="132420"/>
    <s v="KBZ Pay"/>
    <s v="Su Su"/>
    <s v="Completed"/>
  </r>
  <r>
    <s v="ORD-00308"/>
    <x v="316"/>
    <s v="CUST-0112"/>
    <s v="Customer 112"/>
    <x v="3"/>
    <s v="Pyay"/>
    <s v="Office Supplies"/>
    <x v="1"/>
    <x v="1"/>
    <n v="26700"/>
    <n v="0.05"/>
    <x v="611"/>
    <n v="30000"/>
    <n v="20730"/>
    <s v="Wave Money"/>
    <s v="May Zin"/>
    <s v="Completed"/>
  </r>
  <r>
    <s v="ORD-00087"/>
    <x v="316"/>
    <s v="CUST-0175"/>
    <s v="Customer 175"/>
    <x v="0"/>
    <s v="Mayangone"/>
    <s v="Electronics"/>
    <x v="3"/>
    <x v="3"/>
    <n v="1324000"/>
    <n v="0.05"/>
    <x v="612"/>
    <n v="950000"/>
    <n v="307800"/>
    <s v="Bank Transfer"/>
    <s v="Aung Aung"/>
    <s v="Completed"/>
  </r>
  <r>
    <s v="ORD-00188"/>
    <x v="316"/>
    <s v="CUST-0242"/>
    <s v="Customer 242"/>
    <x v="0"/>
    <s v="Tamwe"/>
    <s v="Office Supplies"/>
    <x v="1"/>
    <x v="1"/>
    <n v="26600"/>
    <n v="0.05"/>
    <x v="613"/>
    <n v="30000"/>
    <n v="20540"/>
    <s v="KBZ Pay"/>
    <s v="Thiri"/>
    <s v="Completed"/>
  </r>
  <r>
    <s v="ORD-00754"/>
    <x v="316"/>
    <s v="CUST-0209"/>
    <s v="Customer 209"/>
    <x v="0"/>
    <s v="Mayangone"/>
    <s v="Electronics"/>
    <x v="8"/>
    <x v="2"/>
    <n v="606100"/>
    <n v="0.08"/>
    <x v="614"/>
    <n v="2820000"/>
    <n v="525672"/>
    <s v="Cash"/>
    <s v="Aung Aung"/>
    <s v="Completed"/>
  </r>
  <r>
    <s v="ORD-00371"/>
    <x v="317"/>
    <s v="CUST-0043"/>
    <s v="Customer 043"/>
    <x v="2"/>
    <s v="Chanmyathazi"/>
    <s v="Office Supplies"/>
    <x v="13"/>
    <x v="2"/>
    <n v="41800"/>
    <n v="0.08"/>
    <x v="615"/>
    <n v="156000"/>
    <n v="74736"/>
    <s v="Wave Money"/>
    <s v="May Zin"/>
    <s v="Completed"/>
  </r>
  <r>
    <s v="ORD-00439"/>
    <x v="318"/>
    <s v="CUST-0103"/>
    <s v="Customer 103"/>
    <x v="2"/>
    <s v="Amarapura"/>
    <s v="Furniture"/>
    <x v="9"/>
    <x v="1"/>
    <n v="167100"/>
    <n v="0.1"/>
    <x v="616"/>
    <n v="230000"/>
    <n v="70780"/>
    <s v="Bank Transfer"/>
    <s v="Nandar"/>
    <s v="Completed"/>
  </r>
  <r>
    <s v="ORD-00030"/>
    <x v="318"/>
    <s v="CUST-0115"/>
    <s v="Customer 115"/>
    <x v="4"/>
    <s v="Lashio"/>
    <s v="Electronics"/>
    <x v="5"/>
    <x v="0"/>
    <n v="90400"/>
    <n v="0"/>
    <x v="617"/>
    <n v="275000"/>
    <n v="177000"/>
    <s v="Credit Card"/>
    <s v="May Zin"/>
    <s v="Completed"/>
  </r>
  <r>
    <s v="ORD-00869"/>
    <x v="319"/>
    <s v="CUST-0123"/>
    <s v="Customer 123"/>
    <x v="3"/>
    <s v="Pyay"/>
    <s v="Office Supplies"/>
    <x v="1"/>
    <x v="5"/>
    <n v="28700"/>
    <n v="0.02"/>
    <x v="618"/>
    <n v="105000"/>
    <n v="91882"/>
    <s v="Bank Transfer"/>
    <s v="Su Su"/>
    <s v="Completed"/>
  </r>
  <r>
    <s v="ORD-00987"/>
    <x v="319"/>
    <s v="CUST-0096"/>
    <s v="Customer 096"/>
    <x v="2"/>
    <s v="Chanmyathazi"/>
    <s v="Furniture"/>
    <x v="2"/>
    <x v="4"/>
    <n v="539500"/>
    <n v="0.02"/>
    <x v="619"/>
    <n v="1095000"/>
    <n v="491130"/>
    <s v="Wave Money"/>
    <s v="Htet Htet"/>
    <s v="Completed"/>
  </r>
  <r>
    <s v="ORD-00547"/>
    <x v="320"/>
    <s v="CUST-0203"/>
    <s v="Customer 203"/>
    <x v="2"/>
    <s v="Mandalay"/>
    <s v="Electronics"/>
    <x v="0"/>
    <x v="1"/>
    <n v="421000"/>
    <n v="0"/>
    <x v="620"/>
    <n v="600000"/>
    <n v="242000"/>
    <s v="KBZ Pay"/>
    <s v="Htet Htet"/>
    <s v="Completed"/>
  </r>
  <r>
    <s v="ORD-00603"/>
    <x v="321"/>
    <s v="CUST-0029"/>
    <s v="Customer 029"/>
    <x v="0"/>
    <s v="Tamwe"/>
    <s v="Furniture"/>
    <x v="6"/>
    <x v="3"/>
    <n v="302500"/>
    <n v="0.05"/>
    <x v="621"/>
    <n v="210000"/>
    <n v="77375"/>
    <s v="KBZ Pay"/>
    <s v="Min Min"/>
    <s v="Completed"/>
  </r>
  <r>
    <s v="ORD-00250"/>
    <x v="321"/>
    <s v="CUST-0202"/>
    <s v="Customer 202"/>
    <x v="2"/>
    <s v="Mandalay"/>
    <s v="Electronics"/>
    <x v="8"/>
    <x v="4"/>
    <n v="634900"/>
    <n v="0.15"/>
    <x v="622"/>
    <n v="1410000"/>
    <n v="208995"/>
    <s v="Cash"/>
    <s v="Su Su"/>
    <s v="Completed"/>
  </r>
  <r>
    <s v="ORD-00734"/>
    <x v="322"/>
    <s v="CUST-0023"/>
    <s v="Customer 023"/>
    <x v="4"/>
    <s v="Muse"/>
    <s v="Office Supplies"/>
    <x v="13"/>
    <x v="2"/>
    <n v="47700"/>
    <n v="0.08"/>
    <x v="623"/>
    <n v="156000"/>
    <n v="107304"/>
    <s v="Credit Card"/>
    <s v="May Zin"/>
    <s v="Completed"/>
  </r>
  <r>
    <s v="ORD-00688"/>
    <x v="323"/>
    <s v="CUST-0221"/>
    <s v="Customer 221"/>
    <x v="4"/>
    <s v="Taunggyi"/>
    <s v="Office Supplies"/>
    <x v="11"/>
    <x v="2"/>
    <n v="242400"/>
    <n v="0.05"/>
    <x v="624"/>
    <n v="990000"/>
    <n v="391680"/>
    <s v="Wave Money"/>
    <s v="Nandar"/>
    <s v="Completed"/>
  </r>
  <r>
    <s v="ORD-00821"/>
    <x v="323"/>
    <s v="CUST-0093"/>
    <s v="Customer 093"/>
    <x v="2"/>
    <s v="Mandalay"/>
    <s v="Electronics"/>
    <x v="0"/>
    <x v="4"/>
    <n v="398000"/>
    <n v="0.05"/>
    <x v="625"/>
    <n v="900000"/>
    <n v="234300"/>
    <s v="Wave Money"/>
    <s v="Kyaw Kyaw"/>
    <s v="Completed"/>
  </r>
  <r>
    <s v="ORD-00681"/>
    <x v="323"/>
    <s v="CUST-0153"/>
    <s v="Customer 153"/>
    <x v="2"/>
    <s v="Chanmyathazi"/>
    <s v="Office Supplies"/>
    <x v="11"/>
    <x v="5"/>
    <n v="223100"/>
    <n v="0.1"/>
    <x v="626"/>
    <n v="1155000"/>
    <n v="250530"/>
    <s v="Wave Money"/>
    <s v="Thiri"/>
    <s v="Completed"/>
  </r>
  <r>
    <s v="ORD-00113"/>
    <x v="324"/>
    <s v="CUST-0016"/>
    <s v="Customer 016"/>
    <x v="4"/>
    <s v="Muse"/>
    <s v="Accessories"/>
    <x v="10"/>
    <x v="0"/>
    <n v="93800"/>
    <n v="0.05"/>
    <x v="627"/>
    <n v="290000"/>
    <n v="155550"/>
    <s v="Cash"/>
    <s v="Nandar"/>
    <s v="Completed"/>
  </r>
  <r>
    <s v="ORD-00350"/>
    <x v="324"/>
    <s v="CUST-0179"/>
    <s v="Customer 179"/>
    <x v="1"/>
    <s v="Naypyidaw"/>
    <s v="Furniture"/>
    <x v="6"/>
    <x v="3"/>
    <n v="308300"/>
    <n v="0.1"/>
    <x v="628"/>
    <n v="210000"/>
    <n v="67470"/>
    <s v="Credit Card"/>
    <s v="Kyaw Kyaw"/>
    <s v="Completed"/>
  </r>
  <r>
    <s v="ORD-00018"/>
    <x v="324"/>
    <s v="CUST-0240"/>
    <s v="Customer 240"/>
    <x v="2"/>
    <s v="Chanmyathazi"/>
    <s v="Furniture"/>
    <x v="2"/>
    <x v="3"/>
    <n v="539000"/>
    <n v="0.02"/>
    <x v="629"/>
    <n v="365000"/>
    <n v="163220"/>
    <s v="Wave Money"/>
    <s v="Nandar"/>
    <s v="Completed"/>
  </r>
  <r>
    <s v="ORD-00581"/>
    <x v="325"/>
    <s v="CUST-0067"/>
    <s v="Customer 067"/>
    <x v="3"/>
    <s v="Taungoo"/>
    <s v="Furniture"/>
    <x v="6"/>
    <x v="1"/>
    <n v="300600"/>
    <n v="0.15"/>
    <x v="630"/>
    <n v="420000"/>
    <n v="91020"/>
    <s v="Wave Money"/>
    <s v="Thiri"/>
    <s v="Completed"/>
  </r>
  <r>
    <s v="ORD-00946"/>
    <x v="325"/>
    <s v="CUST-0032"/>
    <s v="Customer 032"/>
    <x v="2"/>
    <s v="Mandalay"/>
    <s v="Accessories"/>
    <x v="10"/>
    <x v="6"/>
    <n v="93300"/>
    <n v="0.15"/>
    <x v="631"/>
    <n v="232000"/>
    <n v="85220"/>
    <s v="Cash"/>
    <s v="Thiri"/>
    <s v="Completed"/>
  </r>
  <r>
    <s v="ORD-00829"/>
    <x v="326"/>
    <s v="CUST-0189"/>
    <s v="Customer 189"/>
    <x v="0"/>
    <s v="Yangon"/>
    <s v="Furniture"/>
    <x v="2"/>
    <x v="6"/>
    <n v="521600"/>
    <n v="0.05"/>
    <x v="632"/>
    <n v="1460000"/>
    <n v="522080"/>
    <s v="Cash"/>
    <s v="Su Su"/>
    <s v="Completed"/>
  </r>
  <r>
    <s v="ORD-00505"/>
    <x v="327"/>
    <s v="CUST-0027"/>
    <s v="Customer 027"/>
    <x v="1"/>
    <s v="Naypyidaw"/>
    <s v="Furniture"/>
    <x v="6"/>
    <x v="5"/>
    <n v="306600"/>
    <n v="0"/>
    <x v="633"/>
    <n v="1470000"/>
    <n v="676200"/>
    <s v="KBZ Pay"/>
    <s v="Min Min"/>
    <s v="Completed"/>
  </r>
  <r>
    <s v="ORD-00683"/>
    <x v="327"/>
    <s v="CUST-0033"/>
    <s v="Customer 033"/>
    <x v="2"/>
    <s v="Amarapura"/>
    <s v="Furniture"/>
    <x v="6"/>
    <x v="5"/>
    <n v="313200"/>
    <n v="0"/>
    <x v="634"/>
    <n v="1470000"/>
    <n v="722400"/>
    <s v="Wave Money"/>
    <s v="Kyaw Kyaw"/>
    <s v="Completed"/>
  </r>
  <r>
    <s v="ORD-00852"/>
    <x v="328"/>
    <s v="CUST-0219"/>
    <s v="Customer 219"/>
    <x v="2"/>
    <s v="Mandalay"/>
    <s v="Electronics"/>
    <x v="0"/>
    <x v="0"/>
    <n v="432700"/>
    <n v="0.05"/>
    <x v="635"/>
    <n v="-1500000"/>
    <n v="-555325"/>
    <s v="Bank Transfer"/>
    <s v="Kyaw Kyaw"/>
    <s v="Returned"/>
  </r>
  <r>
    <s v="ORD-00418"/>
    <x v="329"/>
    <s v="CUST-0043"/>
    <s v="Customer 043"/>
    <x v="2"/>
    <s v="Mandalay"/>
    <s v="Electronics"/>
    <x v="5"/>
    <x v="2"/>
    <n v="92300"/>
    <n v="0"/>
    <x v="636"/>
    <n v="330000"/>
    <n v="223800"/>
    <s v="Wave Money"/>
    <s v="Aung Aung"/>
    <s v="Completed"/>
  </r>
  <r>
    <s v="ORD-00650"/>
    <x v="329"/>
    <s v="CUST-0148"/>
    <s v="Customer 148"/>
    <x v="0"/>
    <s v="Tamwe"/>
    <s v="Office Supplies"/>
    <x v="13"/>
    <x v="4"/>
    <n v="44100"/>
    <n v="0.02"/>
    <x v="637"/>
    <n v="78000"/>
    <n v="51654"/>
    <s v="Wave Money"/>
    <s v="Aung Aung"/>
    <s v="Completed"/>
  </r>
  <r>
    <s v="ORD-00909"/>
    <x v="329"/>
    <s v="CUST-0003"/>
    <s v="Customer 003"/>
    <x v="4"/>
    <s v="Lashio"/>
    <s v="Electronics"/>
    <x v="5"/>
    <x v="1"/>
    <n v="102500"/>
    <n v="0.05"/>
    <x v="638"/>
    <n v="110000"/>
    <n v="84750"/>
    <s v="Cash"/>
    <s v="Htet Htet"/>
    <s v="Completed"/>
  </r>
  <r>
    <s v="ORD-00343"/>
    <x v="330"/>
    <s v="CUST-0160"/>
    <s v="Customer 160"/>
    <x v="4"/>
    <s v="Muse"/>
    <s v="Office Supplies"/>
    <x v="13"/>
    <x v="3"/>
    <n v="41500"/>
    <n v="0.02"/>
    <x v="639"/>
    <n v="26000"/>
    <n v="14670"/>
    <s v="Bank Transfer"/>
    <s v="Kyaw Kyaw"/>
    <s v="Completed"/>
  </r>
  <r>
    <s v="ORD-00237"/>
    <x v="330"/>
    <s v="CUST-0142"/>
    <s v="Customer 142"/>
    <x v="1"/>
    <s v="Naypyidaw"/>
    <s v="Accessories"/>
    <x v="14"/>
    <x v="3"/>
    <n v="72700"/>
    <n v="0.08"/>
    <x v="640"/>
    <n v="43000"/>
    <n v="23884"/>
    <s v="Credit Card"/>
    <s v="Nandar"/>
    <s v="Completed"/>
  </r>
  <r>
    <s v="ORD-00725"/>
    <x v="330"/>
    <s v="CUST-0188"/>
    <s v="Customer 188"/>
    <x v="0"/>
    <s v="Tamwe"/>
    <s v="Accessories"/>
    <x v="12"/>
    <x v="5"/>
    <n v="83000"/>
    <n v="0.05"/>
    <x v="641"/>
    <n v="364000"/>
    <n v="187950"/>
    <s v="Credit Card"/>
    <s v="Thiri"/>
    <s v="Completed"/>
  </r>
  <r>
    <s v="ORD-00970"/>
    <x v="331"/>
    <s v="CUST-0114"/>
    <s v="Customer 114"/>
    <x v="2"/>
    <s v="Chanmyathazi"/>
    <s v="Furniture"/>
    <x v="2"/>
    <x v="5"/>
    <n v="538500"/>
    <n v="0"/>
    <x v="642"/>
    <n v="2555000"/>
    <n v="1214500"/>
    <s v="Bank Transfer"/>
    <s v="Min Min"/>
    <s v="Completed"/>
  </r>
  <r>
    <s v="ORD-00301"/>
    <x v="331"/>
    <s v="CUST-0101"/>
    <s v="Customer 101"/>
    <x v="1"/>
    <s v="Pyinmana"/>
    <s v="Accessories"/>
    <x v="12"/>
    <x v="2"/>
    <n v="89800"/>
    <n v="0.05"/>
    <x v="643"/>
    <n v="312000"/>
    <n v="199860"/>
    <s v="Credit Card"/>
    <s v="Htet Htet"/>
    <s v="Completed"/>
  </r>
  <r>
    <s v="ORD-00999"/>
    <x v="331"/>
    <s v="CUST-0057"/>
    <s v="Customer 057"/>
    <x v="1"/>
    <s v="Naypyidaw"/>
    <s v="Accessories"/>
    <x v="7"/>
    <x v="4"/>
    <n v="29700"/>
    <n v="0.15"/>
    <x v="644"/>
    <n v="54000"/>
    <n v="21735"/>
    <s v="Cash"/>
    <s v="Thiri"/>
    <s v="Completed"/>
  </r>
  <r>
    <s v="ORD-00180"/>
    <x v="332"/>
    <s v="CUST-0163"/>
    <s v="Customer 163"/>
    <x v="0"/>
    <s v="Mayangone"/>
    <s v="Office Supplies"/>
    <x v="13"/>
    <x v="2"/>
    <n v="42400"/>
    <n v="0"/>
    <x v="645"/>
    <n v="156000"/>
    <n v="98400"/>
    <s v="Bank Transfer"/>
    <s v="Su Su"/>
    <s v="Completed"/>
  </r>
  <r>
    <s v="ORD-00716"/>
    <x v="333"/>
    <s v="CUST-0081"/>
    <s v="Customer 081"/>
    <x v="0"/>
    <s v="Mayangone"/>
    <s v="Office Supplies"/>
    <x v="11"/>
    <x v="1"/>
    <n v="246200"/>
    <n v="0.02"/>
    <x v="646"/>
    <n v="330000"/>
    <n v="152552"/>
    <s v="KBZ Pay"/>
    <s v="Kyaw Kyaw"/>
    <s v="Completed"/>
  </r>
  <r>
    <s v="ORD-00778"/>
    <x v="333"/>
    <s v="CUST-0060"/>
    <s v="Customer 060"/>
    <x v="4"/>
    <s v="Lashio"/>
    <s v="Accessories"/>
    <x v="12"/>
    <x v="5"/>
    <n v="78600"/>
    <n v="0"/>
    <x v="647"/>
    <n v="364000"/>
    <n v="186200"/>
    <s v="Bank Transfer"/>
    <s v="Thiri"/>
    <s v="Completed"/>
  </r>
  <r>
    <s v="ORD-00413"/>
    <x v="334"/>
    <s v="CUST-0198"/>
    <s v="Customer 198"/>
    <x v="0"/>
    <s v="Mayangone"/>
    <s v="Office Supplies"/>
    <x v="4"/>
    <x v="5"/>
    <n v="365100"/>
    <n v="0"/>
    <x v="648"/>
    <n v="1960000"/>
    <n v="595700"/>
    <s v="Bank Transfer"/>
    <s v="Su Su"/>
    <s v="Completed"/>
  </r>
  <r>
    <s v="ORD-00240"/>
    <x v="334"/>
    <s v="CUST-0195"/>
    <s v="Customer 195"/>
    <x v="0"/>
    <s v="Tamwe"/>
    <s v="Electronics"/>
    <x v="8"/>
    <x v="1"/>
    <n v="657600"/>
    <n v="0.08"/>
    <x v="649"/>
    <n v="940000"/>
    <n v="269984"/>
    <s v="Bank Transfer"/>
    <s v="Htet Htet"/>
    <s v="Completed"/>
  </r>
  <r>
    <s v="ORD-00170"/>
    <x v="334"/>
    <s v="CUST-0002"/>
    <s v="Customer 002"/>
    <x v="0"/>
    <s v="Tamwe"/>
    <s v="Office Supplies"/>
    <x v="11"/>
    <x v="4"/>
    <n v="229700"/>
    <n v="0.02"/>
    <x v="650"/>
    <n v="495000"/>
    <n v="180318"/>
    <s v="Cash"/>
    <s v="Nandar"/>
    <s v="Completed"/>
  </r>
  <r>
    <s v="ORD-00575"/>
    <x v="335"/>
    <s v="CUST-0220"/>
    <s v="Customer 220"/>
    <x v="1"/>
    <s v="Zabuthiri"/>
    <s v="Electronics"/>
    <x v="0"/>
    <x v="2"/>
    <n v="398600"/>
    <n v="0.05"/>
    <x v="651"/>
    <n v="1800000"/>
    <n v="472020"/>
    <s v="Wave Money"/>
    <s v="Su Su"/>
    <s v="Completed"/>
  </r>
  <r>
    <s v="ORD-00655"/>
    <x v="335"/>
    <s v="CUST-0107"/>
    <s v="Customer 107"/>
    <x v="3"/>
    <s v="Taungoo"/>
    <s v="Electronics"/>
    <x v="5"/>
    <x v="5"/>
    <n v="91700"/>
    <n v="0.02"/>
    <x v="652"/>
    <n v="385000"/>
    <n v="244062"/>
    <s v="KBZ Pay"/>
    <s v="Su Su"/>
    <s v="Completed"/>
  </r>
  <r>
    <s v="ORD-00850"/>
    <x v="335"/>
    <s v="CUST-0147"/>
    <s v="Customer 147"/>
    <x v="0"/>
    <s v="Mayangone"/>
    <s v="Electronics"/>
    <x v="8"/>
    <x v="6"/>
    <n v="673800"/>
    <n v="0.15"/>
    <x v="653"/>
    <n v="1880000"/>
    <n v="410920"/>
    <s v="Credit Card"/>
    <s v="May Zin"/>
    <s v="Completed"/>
  </r>
  <r>
    <s v="ORD-00782"/>
    <x v="336"/>
    <s v="CUST-0247"/>
    <s v="Customer 247"/>
    <x v="3"/>
    <s v="Bago"/>
    <s v="Office Supplies"/>
    <x v="4"/>
    <x v="1"/>
    <n v="358800"/>
    <n v="0.05"/>
    <x v="654"/>
    <n v="560000"/>
    <n v="121720"/>
    <s v="Wave Money"/>
    <s v="Htet Htet"/>
    <s v="Completed"/>
  </r>
  <r>
    <s v="ORD-00763"/>
    <x v="337"/>
    <s v="CUST-0090"/>
    <s v="Customer 090"/>
    <x v="2"/>
    <s v="Amarapura"/>
    <s v="Furniture"/>
    <x v="9"/>
    <x v="3"/>
    <n v="179400"/>
    <n v="0"/>
    <x v="655"/>
    <n v="115000"/>
    <n v="64400"/>
    <s v="KBZ Pay"/>
    <s v="Nandar"/>
    <s v="Completed"/>
  </r>
  <r>
    <s v="ORD-00352"/>
    <x v="337"/>
    <s v="CUST-0116"/>
    <s v="Customer 116"/>
    <x v="0"/>
    <s v="Hlaing"/>
    <s v="Electronics"/>
    <x v="8"/>
    <x v="2"/>
    <n v="638500"/>
    <n v="0.05"/>
    <x v="8"/>
    <n v="0"/>
    <n v="0"/>
    <s v="Credit Card"/>
    <s v="Aung Aung"/>
    <s v="Cancelled"/>
  </r>
  <r>
    <s v="ORD-00843"/>
    <x v="338"/>
    <s v="CUST-0246"/>
    <s v="Customer 246"/>
    <x v="0"/>
    <s v="Yangon"/>
    <s v="Electronics"/>
    <x v="8"/>
    <x v="1"/>
    <n v="645600"/>
    <n v="0.05"/>
    <x v="656"/>
    <n v="-940000"/>
    <n v="-286640"/>
    <s v="Bank Transfer"/>
    <s v="Min Min"/>
    <s v="Returned"/>
  </r>
  <r>
    <s v="ORD-00530"/>
    <x v="338"/>
    <s v="CUST-0078"/>
    <s v="Customer 078"/>
    <x v="2"/>
    <s v="Amarapura"/>
    <s v="Accessories"/>
    <x v="12"/>
    <x v="6"/>
    <n v="84700"/>
    <n v="0.1"/>
    <x v="657"/>
    <n v="208000"/>
    <n v="96920"/>
    <s v="Bank Transfer"/>
    <s v="Nandar"/>
    <s v="Completed"/>
  </r>
  <r>
    <s v="ORD-00545"/>
    <x v="338"/>
    <s v="CUST-0210"/>
    <s v="Customer 210"/>
    <x v="4"/>
    <s v="Lashio"/>
    <s v="Accessories"/>
    <x v="10"/>
    <x v="3"/>
    <n v="91500"/>
    <n v="0.08"/>
    <x v="658"/>
    <n v="58000"/>
    <n v="26180"/>
    <s v="Wave Money"/>
    <s v="Thiri"/>
    <s v="Completed"/>
  </r>
  <r>
    <s v="ORD-00814"/>
    <x v="339"/>
    <s v="CUST-0064"/>
    <s v="Customer 064"/>
    <x v="0"/>
    <s v="Yangon"/>
    <s v="Furniture"/>
    <x v="9"/>
    <x v="4"/>
    <n v="166700"/>
    <n v="0.05"/>
    <x v="659"/>
    <n v="345000"/>
    <n v="130095"/>
    <s v="Bank Transfer"/>
    <s v="Min Min"/>
    <s v="Completed"/>
  </r>
  <r>
    <s v="ORD-00058"/>
    <x v="339"/>
    <s v="CUST-0173"/>
    <s v="Customer 173"/>
    <x v="2"/>
    <s v="Mandalay"/>
    <s v="Accessories"/>
    <x v="12"/>
    <x v="4"/>
    <n v="81600"/>
    <n v="0.05"/>
    <x v="660"/>
    <n v="156000"/>
    <n v="76560"/>
    <s v="Wave Money"/>
    <s v="Thiri"/>
    <s v="Completed"/>
  </r>
  <r>
    <s v="ORD-00238"/>
    <x v="339"/>
    <s v="CUST-0233"/>
    <s v="Customer 233"/>
    <x v="2"/>
    <s v="Mandalay"/>
    <s v="Electronics"/>
    <x v="5"/>
    <x v="3"/>
    <n v="94500"/>
    <n v="0.02"/>
    <x v="661"/>
    <n v="55000"/>
    <n v="37610"/>
    <s v="Wave Money"/>
    <s v="Min Min"/>
    <s v="Completed"/>
  </r>
  <r>
    <s v="ORD-00275"/>
    <x v="339"/>
    <s v="CUST-0010"/>
    <s v="Customer 010"/>
    <x v="0"/>
    <s v="Tamwe"/>
    <s v="Office Supplies"/>
    <x v="4"/>
    <x v="3"/>
    <n v="357100"/>
    <n v="0.1"/>
    <x v="662"/>
    <n v="280000"/>
    <n v="41390"/>
    <s v="KBZ Pay"/>
    <s v="Htet Htet"/>
    <s v="Completed"/>
  </r>
  <r>
    <s v="ORD-00689"/>
    <x v="340"/>
    <s v="CUST-0031"/>
    <s v="Customer 031"/>
    <x v="0"/>
    <s v="Mayangone"/>
    <s v="Electronics"/>
    <x v="5"/>
    <x v="4"/>
    <n v="90400"/>
    <n v="0"/>
    <x v="8"/>
    <n v="0"/>
    <n v="0"/>
    <s v="Cash"/>
    <s v="Min Min"/>
    <s v="Cancelled"/>
  </r>
  <r>
    <s v="ORD-00854"/>
    <x v="340"/>
    <s v="CUST-0182"/>
    <s v="Customer 182"/>
    <x v="0"/>
    <s v="Yangon"/>
    <s v="Furniture"/>
    <x v="2"/>
    <x v="6"/>
    <n v="518600"/>
    <n v="0.02"/>
    <x v="663"/>
    <n v="1460000"/>
    <n v="572912"/>
    <s v="Bank Transfer"/>
    <s v="Nandar"/>
    <s v="Completed"/>
  </r>
  <r>
    <s v="ORD-00516"/>
    <x v="340"/>
    <s v="CUST-0027"/>
    <s v="Customer 027"/>
    <x v="0"/>
    <s v="Hlaing"/>
    <s v="Electronics"/>
    <x v="8"/>
    <x v="2"/>
    <n v="641000"/>
    <n v="0"/>
    <x v="664"/>
    <n v="2820000"/>
    <n v="1026000"/>
    <s v="Credit Card"/>
    <s v="Su Su"/>
    <s v="Completed"/>
  </r>
  <r>
    <s v="ORD-00474"/>
    <x v="341"/>
    <s v="CUST-0051"/>
    <s v="Customer 051"/>
    <x v="3"/>
    <s v="Pyay"/>
    <s v="Electronics"/>
    <x v="8"/>
    <x v="2"/>
    <n v="698000"/>
    <n v="0.08"/>
    <x v="665"/>
    <n v="2820000"/>
    <n v="1032960"/>
    <s v="Cash"/>
    <s v="Min Min"/>
    <s v="Completed"/>
  </r>
  <r>
    <s v="ORD-00257"/>
    <x v="342"/>
    <s v="CUST-0075"/>
    <s v="Customer 075"/>
    <x v="4"/>
    <s v="Taunggyi"/>
    <s v="Electronics"/>
    <x v="3"/>
    <x v="0"/>
    <n v="1344400"/>
    <n v="0.02"/>
    <x v="8"/>
    <n v="0"/>
    <n v="0"/>
    <s v="Wave Money"/>
    <s v="Thiri"/>
    <s v="Cancelled"/>
  </r>
  <r>
    <s v="ORD-00475"/>
    <x v="342"/>
    <s v="CUST-0037"/>
    <s v="Customer 037"/>
    <x v="3"/>
    <s v="Taungoo"/>
    <s v="Furniture"/>
    <x v="2"/>
    <x v="3"/>
    <n v="547700"/>
    <n v="0.08"/>
    <x v="666"/>
    <n v="-365000"/>
    <n v="-138884"/>
    <s v="Cash"/>
    <s v="Su Su"/>
    <s v="Returned"/>
  </r>
  <r>
    <s v="ORD-00808"/>
    <x v="342"/>
    <s v="CUST-0224"/>
    <s v="Customer 224"/>
    <x v="1"/>
    <s v="Naypyidaw"/>
    <s v="Office Supplies"/>
    <x v="4"/>
    <x v="3"/>
    <n v="361100"/>
    <n v="0.05"/>
    <x v="667"/>
    <n v="280000"/>
    <n v="63045"/>
    <s v="KBZ Pay"/>
    <s v="Nandar"/>
    <s v="Completed"/>
  </r>
  <r>
    <s v="ORD-00132"/>
    <x v="342"/>
    <s v="CUST-0001"/>
    <s v="Customer 001"/>
    <x v="2"/>
    <s v="Mandalay"/>
    <s v="Accessories"/>
    <x v="7"/>
    <x v="4"/>
    <n v="34400"/>
    <n v="0.08"/>
    <x v="668"/>
    <n v="54000"/>
    <n v="40944"/>
    <s v="Wave Money"/>
    <s v="Su Su"/>
    <s v="Completed"/>
  </r>
  <r>
    <s v="ORD-00722"/>
    <x v="343"/>
    <s v="CUST-0134"/>
    <s v="Customer 134"/>
    <x v="1"/>
    <s v="Zabuthiri"/>
    <s v="Office Supplies"/>
    <x v="4"/>
    <x v="5"/>
    <n v="354900"/>
    <n v="0"/>
    <x v="669"/>
    <n v="1960000"/>
    <n v="524300"/>
    <s v="Cash"/>
    <s v="May Zin"/>
    <s v="Completed"/>
  </r>
  <r>
    <s v="ORD-00775"/>
    <x v="344"/>
    <s v="CUST-0167"/>
    <s v="Customer 167"/>
    <x v="1"/>
    <s v="Zabuthiri"/>
    <s v="Furniture"/>
    <x v="2"/>
    <x v="6"/>
    <n v="522700"/>
    <n v="0.02"/>
    <x v="670"/>
    <n v="1460000"/>
    <n v="588984"/>
    <s v="Wave Money"/>
    <s v="May Zin"/>
    <s v="Completed"/>
  </r>
  <r>
    <s v="ORD-00100"/>
    <x v="344"/>
    <s v="CUST-0017"/>
    <s v="Customer 017"/>
    <x v="4"/>
    <s v="Lashio"/>
    <s v="Electronics"/>
    <x v="0"/>
    <x v="2"/>
    <n v="447800"/>
    <n v="0"/>
    <x v="671"/>
    <n v="1800000"/>
    <n v="886800"/>
    <s v="KBZ Pay"/>
    <s v="Thiri"/>
    <s v="Completed"/>
  </r>
  <r>
    <s v="ORD-00534"/>
    <x v="345"/>
    <s v="CUST-0198"/>
    <s v="Customer 198"/>
    <x v="1"/>
    <s v="Pyinmana"/>
    <s v="Office Supplies"/>
    <x v="13"/>
    <x v="0"/>
    <n v="46500"/>
    <n v="0.05"/>
    <x v="672"/>
    <n v="130000"/>
    <n v="90875"/>
    <s v="Bank Transfer"/>
    <s v="Aung Aung"/>
    <s v="Completed"/>
  </r>
  <r>
    <s v="ORD-00755"/>
    <x v="345"/>
    <s v="CUST-0014"/>
    <s v="Customer 014"/>
    <x v="3"/>
    <s v="Bago"/>
    <s v="Electronics"/>
    <x v="0"/>
    <x v="5"/>
    <n v="404700"/>
    <n v="0.05"/>
    <x v="673"/>
    <n v="-2100000"/>
    <n v="-591255"/>
    <s v="KBZ Pay"/>
    <s v="Kyaw Kyaw"/>
    <s v="Returned"/>
  </r>
  <r>
    <s v="ORD-00692"/>
    <x v="345"/>
    <s v="CUST-0228"/>
    <s v="Customer 228"/>
    <x v="0"/>
    <s v="Yangon"/>
    <s v="Furniture"/>
    <x v="2"/>
    <x v="1"/>
    <n v="515800"/>
    <n v="0.08"/>
    <x v="674"/>
    <n v="730000"/>
    <n v="219072"/>
    <s v="KBZ Pay"/>
    <s v="Thiri"/>
    <s v="Completed"/>
  </r>
  <r>
    <s v="ORD-00542"/>
    <x v="345"/>
    <s v="CUST-0026"/>
    <s v="Customer 026"/>
    <x v="3"/>
    <s v="Bago"/>
    <s v="Office Supplies"/>
    <x v="11"/>
    <x v="1"/>
    <n v="228300"/>
    <n v="0.05"/>
    <x v="675"/>
    <n v="330000"/>
    <n v="103770"/>
    <s v="KBZ Pay"/>
    <s v="Aung Aung"/>
    <s v="Completed"/>
  </r>
  <r>
    <s v="ORD-00733"/>
    <x v="346"/>
    <s v="CUST-0075"/>
    <s v="Customer 075"/>
    <x v="2"/>
    <s v="Amarapura"/>
    <s v="Accessories"/>
    <x v="14"/>
    <x v="5"/>
    <n v="79900"/>
    <n v="0.08"/>
    <x v="676"/>
    <n v="301000"/>
    <n v="213556"/>
    <s v="Bank Transfer"/>
    <s v="Nandar"/>
    <s v="Completed"/>
  </r>
  <r>
    <s v="ORD-00978"/>
    <x v="347"/>
    <s v="CUST-0173"/>
    <s v="Customer 173"/>
    <x v="2"/>
    <s v="Mandalay"/>
    <s v="Furniture"/>
    <x v="2"/>
    <x v="3"/>
    <n v="493800"/>
    <n v="0.05"/>
    <x v="677"/>
    <n v="365000"/>
    <n v="104110"/>
    <s v="Credit Card"/>
    <s v="Htet Htet"/>
    <s v="Completed"/>
  </r>
  <r>
    <s v="ORD-00059"/>
    <x v="347"/>
    <s v="CUST-0050"/>
    <s v="Customer 050"/>
    <x v="3"/>
    <s v="Taungoo"/>
    <s v="Office Supplies"/>
    <x v="11"/>
    <x v="5"/>
    <n v="246600"/>
    <n v="0.05"/>
    <x v="678"/>
    <n v="1155000"/>
    <n v="484890"/>
    <s v="Wave Money"/>
    <s v="Htet Htet"/>
    <s v="Completed"/>
  </r>
  <r>
    <s v="ORD-00696"/>
    <x v="348"/>
    <s v="CUST-0034"/>
    <s v="Customer 034"/>
    <x v="0"/>
    <s v="Mayangone"/>
    <s v="Accessories"/>
    <x v="14"/>
    <x v="4"/>
    <n v="77200"/>
    <n v="0"/>
    <x v="679"/>
    <n v="129000"/>
    <n v="102600"/>
    <s v="Credit Card"/>
    <s v="May Zin"/>
    <s v="Completed"/>
  </r>
  <r>
    <s v="ORD-00504"/>
    <x v="349"/>
    <s v="CUST-0183"/>
    <s v="Customer 183"/>
    <x v="0"/>
    <s v="Yangon"/>
    <s v="Office Supplies"/>
    <x v="4"/>
    <x v="0"/>
    <n v="402000"/>
    <n v="0"/>
    <x v="680"/>
    <n v="1400000"/>
    <n v="610000"/>
    <s v="KBZ Pay"/>
    <s v="Thiri"/>
    <s v="Completed"/>
  </r>
  <r>
    <s v="ORD-00806"/>
    <x v="349"/>
    <s v="CUST-0238"/>
    <s v="Customer 238"/>
    <x v="1"/>
    <s v="Pyinmana"/>
    <s v="Electronics"/>
    <x v="5"/>
    <x v="1"/>
    <n v="100000"/>
    <n v="0.02"/>
    <x v="681"/>
    <n v="-110000"/>
    <n v="-86000"/>
    <s v="Wave Money"/>
    <s v="Htet Htet"/>
    <s v="Returned"/>
  </r>
  <r>
    <s v="ORD-00193"/>
    <x v="350"/>
    <s v="CUST-0133"/>
    <s v="Customer 133"/>
    <x v="2"/>
    <s v="Mandalay"/>
    <s v="Electronics"/>
    <x v="0"/>
    <x v="4"/>
    <n v="430700"/>
    <n v="0.08"/>
    <x v="682"/>
    <n v="900000"/>
    <n v="288732"/>
    <s v="Cash"/>
    <s v="Htet Htet"/>
    <s v="Completed"/>
  </r>
  <r>
    <s v="ORD-00701"/>
    <x v="350"/>
    <s v="CUST-0164"/>
    <s v="Customer 164"/>
    <x v="2"/>
    <s v="Mandalay"/>
    <s v="Electronics"/>
    <x v="8"/>
    <x v="3"/>
    <n v="672200"/>
    <n v="0.02"/>
    <x v="683"/>
    <n v="470000"/>
    <n v="188756"/>
    <s v="Bank Transfer"/>
    <s v="Thiri"/>
    <s v="Completed"/>
  </r>
  <r>
    <s v="ORD-00274"/>
    <x v="351"/>
    <s v="CUST-0233"/>
    <s v="Customer 233"/>
    <x v="3"/>
    <s v="Taungoo"/>
    <s v="Electronics"/>
    <x v="0"/>
    <x v="4"/>
    <n v="387900"/>
    <n v="0.05"/>
    <x v="684"/>
    <n v="900000"/>
    <n v="205515"/>
    <s v="Cash"/>
    <s v="Kyaw Kyaw"/>
    <s v="Completed"/>
  </r>
  <r>
    <s v="ORD-00385"/>
    <x v="351"/>
    <s v="CUST-0006"/>
    <s v="Customer 006"/>
    <x v="0"/>
    <s v="Yangon"/>
    <s v="Office Supplies"/>
    <x v="11"/>
    <x v="2"/>
    <n v="244000"/>
    <n v="0.05"/>
    <x v="685"/>
    <n v="990000"/>
    <n v="400800"/>
    <s v="Cash"/>
    <s v="Kyaw Kyaw"/>
    <s v="Completed"/>
  </r>
  <r>
    <s v="ORD-00798"/>
    <x v="351"/>
    <s v="CUST-0144"/>
    <s v="Customer 144"/>
    <x v="2"/>
    <s v="Mandalay"/>
    <s v="Electronics"/>
    <x v="8"/>
    <x v="3"/>
    <n v="685900"/>
    <n v="0.05"/>
    <x v="686"/>
    <n v="470000"/>
    <n v="181605"/>
    <s v="Credit Card"/>
    <s v="Aung Aung"/>
    <s v="Completed"/>
  </r>
  <r>
    <s v="ORD-00349"/>
    <x v="351"/>
    <s v="CUST-0207"/>
    <s v="Customer 207"/>
    <x v="0"/>
    <s v="Yangon"/>
    <s v="Accessories"/>
    <x v="7"/>
    <x v="3"/>
    <n v="32600"/>
    <n v="0.1"/>
    <x v="687"/>
    <n v="18000"/>
    <n v="11340"/>
    <s v="Wave Money"/>
    <s v="Thiri"/>
    <s v="Completed"/>
  </r>
  <r>
    <s v="ORD-00515"/>
    <x v="352"/>
    <s v="CUST-0084"/>
    <s v="Customer 084"/>
    <x v="1"/>
    <s v="Pyinmana"/>
    <s v="Office Supplies"/>
    <x v="13"/>
    <x v="1"/>
    <n v="42800"/>
    <n v="0.05"/>
    <x v="688"/>
    <n v="52000"/>
    <n v="29320"/>
    <s v="Cash"/>
    <s v="Aung Aung"/>
    <s v="Completed"/>
  </r>
  <r>
    <s v="ORD-00797"/>
    <x v="352"/>
    <s v="CUST-0239"/>
    <s v="Customer 239"/>
    <x v="1"/>
    <s v="Pyinmana"/>
    <s v="Electronics"/>
    <x v="8"/>
    <x v="3"/>
    <n v="645700"/>
    <n v="0.08"/>
    <x v="689"/>
    <n v="470000"/>
    <n v="124044"/>
    <s v="Bank Transfer"/>
    <s v="May Zin"/>
    <s v="Completed"/>
  </r>
  <r>
    <s v="ORD-00175"/>
    <x v="353"/>
    <s v="CUST-0144"/>
    <s v="Customer 144"/>
    <x v="0"/>
    <s v="Tamwe"/>
    <s v="Furniture"/>
    <x v="2"/>
    <x v="1"/>
    <n v="486400"/>
    <n v="0.05"/>
    <x v="690"/>
    <n v="730000"/>
    <n v="194160"/>
    <s v="Cash"/>
    <s v="Htet Htet"/>
    <s v="Completed"/>
  </r>
  <r>
    <s v="ORD-00872"/>
    <x v="354"/>
    <s v="CUST-0048"/>
    <s v="Customer 048"/>
    <x v="0"/>
    <s v="Mayangone"/>
    <s v="Furniture"/>
    <x v="2"/>
    <x v="3"/>
    <n v="498500"/>
    <n v="0.08"/>
    <x v="691"/>
    <n v="365000"/>
    <n v="93620"/>
    <s v="Wave Money"/>
    <s v="Nandar"/>
    <s v="Completed"/>
  </r>
  <r>
    <s v="ORD-00964"/>
    <x v="354"/>
    <s v="CUST-0084"/>
    <s v="Customer 084"/>
    <x v="0"/>
    <s v="Yangon"/>
    <s v="Office Supplies"/>
    <x v="1"/>
    <x v="5"/>
    <n v="28800"/>
    <n v="0.08"/>
    <x v="692"/>
    <n v="105000"/>
    <n v="80472"/>
    <s v="Credit Card"/>
    <s v="Min Min"/>
    <s v="Completed"/>
  </r>
  <r>
    <s v="ORD-00102"/>
    <x v="355"/>
    <s v="CUST-0193"/>
    <s v="Customer 193"/>
    <x v="2"/>
    <s v="Mandalay"/>
    <s v="Office Supplies"/>
    <x v="11"/>
    <x v="2"/>
    <n v="240700"/>
    <n v="0"/>
    <x v="693"/>
    <n v="990000"/>
    <n v="454200"/>
    <s v="Wave Money"/>
    <s v="Min Min"/>
    <s v="Completed"/>
  </r>
  <r>
    <s v="ORD-00276"/>
    <x v="356"/>
    <s v="CUST-0205"/>
    <s v="Customer 205"/>
    <x v="2"/>
    <s v="Amarapura"/>
    <s v="Electronics"/>
    <x v="5"/>
    <x v="2"/>
    <n v="99900"/>
    <n v="0.08"/>
    <x v="694"/>
    <n v="330000"/>
    <n v="221448"/>
    <s v="Credit Card"/>
    <s v="Min Min"/>
    <s v="Completed"/>
  </r>
  <r>
    <s v="ORD-00050"/>
    <x v="356"/>
    <s v="CUST-0056"/>
    <s v="Customer 056"/>
    <x v="0"/>
    <s v="Yangon"/>
    <s v="Furniture"/>
    <x v="2"/>
    <x v="0"/>
    <n v="498200"/>
    <n v="0.05"/>
    <x v="695"/>
    <n v="1825000"/>
    <n v="541450"/>
    <s v="Cash"/>
    <s v="Aung Aung"/>
    <s v="Completed"/>
  </r>
  <r>
    <s v="ORD-00842"/>
    <x v="357"/>
    <s v="CUST-0114"/>
    <s v="Customer 114"/>
    <x v="0"/>
    <s v="Mayangone"/>
    <s v="Furniture"/>
    <x v="2"/>
    <x v="3"/>
    <n v="505800"/>
    <n v="0.05"/>
    <x v="696"/>
    <n v="-365000"/>
    <n v="-115510"/>
    <s v="Bank Transfer"/>
    <s v="Nandar"/>
    <s v="Returned"/>
  </r>
  <r>
    <s v="ORD-00893"/>
    <x v="358"/>
    <s v="CUST-0031"/>
    <s v="Customer 031"/>
    <x v="0"/>
    <s v="Yangon"/>
    <s v="Furniture"/>
    <x v="2"/>
    <x v="6"/>
    <n v="488800"/>
    <n v="0"/>
    <x v="697"/>
    <n v="1460000"/>
    <n v="495200"/>
    <s v="Cash"/>
    <s v="Nandar"/>
    <s v="Completed"/>
  </r>
  <r>
    <s v="ORD-00936"/>
    <x v="359"/>
    <s v="CUST-0078"/>
    <s v="Customer 078"/>
    <x v="2"/>
    <s v="Chanmyathazi"/>
    <s v="Office Supplies"/>
    <x v="4"/>
    <x v="5"/>
    <n v="392600"/>
    <n v="0.08"/>
    <x v="698"/>
    <n v="1960000"/>
    <n v="568344"/>
    <s v="Cash"/>
    <s v="Htet Htet"/>
    <s v="Completed"/>
  </r>
  <r>
    <s v="ORD-00658"/>
    <x v="359"/>
    <s v="CUST-0048"/>
    <s v="Customer 048"/>
    <x v="0"/>
    <s v="Tamwe"/>
    <s v="Electronics"/>
    <x v="5"/>
    <x v="4"/>
    <n v="87900"/>
    <n v="0.08"/>
    <x v="699"/>
    <n v="165000"/>
    <n v="77604"/>
    <s v="Wave Money"/>
    <s v="Kyaw Kyaw"/>
    <s v="Completed"/>
  </r>
  <r>
    <s v="ORD-00057"/>
    <x v="360"/>
    <s v="CUST-0102"/>
    <s v="Customer 102"/>
    <x v="0"/>
    <s v="Yangon"/>
    <s v="Office Supplies"/>
    <x v="4"/>
    <x v="0"/>
    <n v="353000"/>
    <n v="0.1"/>
    <x v="700"/>
    <n v="1400000"/>
    <n v="188500"/>
    <s v="Bank Transfer"/>
    <s v="Min Min"/>
    <s v="Completed"/>
  </r>
  <r>
    <s v="ORD-00968"/>
    <x v="361"/>
    <s v="CUST-0216"/>
    <s v="Customer 216"/>
    <x v="4"/>
    <s v="Muse"/>
    <s v="Accessories"/>
    <x v="12"/>
    <x v="2"/>
    <n v="87900"/>
    <n v="0.02"/>
    <x v="701"/>
    <n v="312000"/>
    <n v="204852"/>
    <s v="Bank Transfer"/>
    <s v="Nandar"/>
    <s v="Completed"/>
  </r>
  <r>
    <s v="ORD-00011"/>
    <x v="361"/>
    <s v="CUST-0124"/>
    <s v="Customer 124"/>
    <x v="3"/>
    <s v="Bago"/>
    <s v="Office Supplies"/>
    <x v="1"/>
    <x v="2"/>
    <n v="28000"/>
    <n v="0.05"/>
    <x v="702"/>
    <n v="90000"/>
    <n v="69600"/>
    <s v="KBZ Pay"/>
    <s v="Thiri"/>
    <s v="Completed"/>
  </r>
  <r>
    <s v="ORD-00851"/>
    <x v="362"/>
    <s v="CUST-0221"/>
    <s v="Customer 221"/>
    <x v="1"/>
    <s v="Zabuthiri"/>
    <s v="Accessories"/>
    <x v="14"/>
    <x v="1"/>
    <n v="79600"/>
    <n v="0.15"/>
    <x v="703"/>
    <n v="86000"/>
    <n v="49320"/>
    <s v="Credit Card"/>
    <s v="Nandar"/>
    <s v="Completed"/>
  </r>
  <r>
    <s v="ORD-00201"/>
    <x v="362"/>
    <s v="CUST-0030"/>
    <s v="Customer 030"/>
    <x v="2"/>
    <s v="Mandalay"/>
    <s v="Office Supplies"/>
    <x v="4"/>
    <x v="0"/>
    <n v="394800"/>
    <n v="0.05"/>
    <x v="704"/>
    <n v="1400000"/>
    <n v="475300"/>
    <s v="Bank Transfer"/>
    <s v="May Zin"/>
    <s v="Completed"/>
  </r>
  <r>
    <s v="ORD-00652"/>
    <x v="362"/>
    <s v="CUST-0106"/>
    <s v="Customer 106"/>
    <x v="2"/>
    <s v="Mandalay"/>
    <s v="Electronics"/>
    <x v="8"/>
    <x v="5"/>
    <n v="634700"/>
    <n v="0.08"/>
    <x v="705"/>
    <n v="3290000"/>
    <n v="797468"/>
    <s v="Bank Transfer"/>
    <s v="Nandar"/>
    <s v="Completed"/>
  </r>
  <r>
    <s v="ORD-00994"/>
    <x v="363"/>
    <s v="CUST-0159"/>
    <s v="Customer 159"/>
    <x v="4"/>
    <s v="Taunggyi"/>
    <s v="Office Supplies"/>
    <x v="13"/>
    <x v="2"/>
    <n v="45300"/>
    <n v="0"/>
    <x v="706"/>
    <n v="156000"/>
    <n v="115800"/>
    <s v="Cash"/>
    <s v="Thiri"/>
    <s v="Completed"/>
  </r>
  <r>
    <s v="ORD-00592"/>
    <x v="363"/>
    <s v="CUST-0155"/>
    <s v="Customer 155"/>
    <x v="0"/>
    <s v="Tamwe"/>
    <s v="Office Supplies"/>
    <x v="1"/>
    <x v="0"/>
    <n v="29100"/>
    <n v="0.05"/>
    <x v="707"/>
    <n v="75000"/>
    <n v="63225"/>
    <s v="Bank Transfer"/>
    <s v="Su Su"/>
    <s v="Completed"/>
  </r>
  <r>
    <s v="ORD-00832"/>
    <x v="364"/>
    <s v="CUST-0175"/>
    <s v="Customer 175"/>
    <x v="1"/>
    <s v="Zabuthiri"/>
    <s v="Accessories"/>
    <x v="7"/>
    <x v="1"/>
    <n v="31800"/>
    <n v="0"/>
    <x v="708"/>
    <n v="-36000"/>
    <n v="-27600"/>
    <s v="Credit Card"/>
    <s v="Nandar"/>
    <s v="Returned"/>
  </r>
  <r>
    <s v="ORD-00703"/>
    <x v="365"/>
    <s v="CUST-0217"/>
    <s v="Customer 217"/>
    <x v="2"/>
    <s v="Mandalay"/>
    <s v="Electronics"/>
    <x v="5"/>
    <x v="2"/>
    <n v="101400"/>
    <n v="0.02"/>
    <x v="709"/>
    <n v="330000"/>
    <n v="266232"/>
    <s v="Wave Money"/>
    <s v="Min Min"/>
    <s v="Completed"/>
  </r>
  <r>
    <s v="ORD-00226"/>
    <x v="365"/>
    <s v="CUST-0220"/>
    <s v="Customer 220"/>
    <x v="2"/>
    <s v="Amarapura"/>
    <s v="Electronics"/>
    <x v="0"/>
    <x v="0"/>
    <n v="447300"/>
    <n v="0.02"/>
    <x v="8"/>
    <n v="0"/>
    <n v="0"/>
    <s v="Cash"/>
    <s v="Aung Aung"/>
    <s v="Cancelled"/>
  </r>
  <r>
    <s v="ORD-00402"/>
    <x v="366"/>
    <s v="CUST-0021"/>
    <s v="Customer 021"/>
    <x v="1"/>
    <s v="Naypyidaw"/>
    <s v="Electronics"/>
    <x v="3"/>
    <x v="5"/>
    <n v="1340000"/>
    <n v="0"/>
    <x v="710"/>
    <n v="6650000"/>
    <n v="2730000"/>
    <s v="Cash"/>
    <s v="Nandar"/>
    <s v="Completed"/>
  </r>
  <r>
    <s v="ORD-00401"/>
    <x v="367"/>
    <s v="CUST-0084"/>
    <s v="Customer 084"/>
    <x v="0"/>
    <s v="Mayangone"/>
    <s v="Furniture"/>
    <x v="6"/>
    <x v="2"/>
    <n v="294700"/>
    <n v="0"/>
    <x v="711"/>
    <n v="1260000"/>
    <n v="508200"/>
    <s v="Cash"/>
    <s v="Aung Aung"/>
    <s v="Completed"/>
  </r>
  <r>
    <s v="ORD-00277"/>
    <x v="367"/>
    <s v="CUST-0079"/>
    <s v="Customer 079"/>
    <x v="1"/>
    <s v="Pyinmana"/>
    <s v="Electronics"/>
    <x v="8"/>
    <x v="1"/>
    <n v="683700"/>
    <n v="0.08"/>
    <x v="712"/>
    <n v="940000"/>
    <n v="318008"/>
    <s v="Cash"/>
    <s v="Aung Aung"/>
    <s v="Completed"/>
  </r>
  <r>
    <s v="ORD-00713"/>
    <x v="367"/>
    <s v="CUST-0197"/>
    <s v="Customer 197"/>
    <x v="0"/>
    <s v="Mayangone"/>
    <s v="Electronics"/>
    <x v="8"/>
    <x v="6"/>
    <n v="613800"/>
    <n v="0"/>
    <x v="713"/>
    <n v="1880000"/>
    <n v="575200"/>
    <s v="Credit Card"/>
    <s v="Min Min"/>
    <s v="Completed"/>
  </r>
  <r>
    <s v="ORD-00292"/>
    <x v="367"/>
    <s v="CUST-0022"/>
    <s v="Customer 022"/>
    <x v="1"/>
    <s v="Zabuthiri"/>
    <s v="Accessories"/>
    <x v="14"/>
    <x v="0"/>
    <n v="75400"/>
    <n v="0.08"/>
    <x v="714"/>
    <n v="215000"/>
    <n v="131840"/>
    <s v="Credit Card"/>
    <s v="Aung Aung"/>
    <s v="Completed"/>
  </r>
  <r>
    <s v="ORD-00009"/>
    <x v="368"/>
    <s v="CUST-0028"/>
    <s v="Customer 028"/>
    <x v="0"/>
    <s v="Tamwe"/>
    <s v="Furniture"/>
    <x v="2"/>
    <x v="4"/>
    <n v="542600"/>
    <n v="0"/>
    <x v="715"/>
    <n v="1095000"/>
    <n v="532800"/>
    <s v="Cash"/>
    <s v="May Zin"/>
    <s v="Completed"/>
  </r>
  <r>
    <s v="ORD-00398"/>
    <x v="368"/>
    <s v="CUST-0025"/>
    <s v="Customer 025"/>
    <x v="0"/>
    <s v="Mayangone"/>
    <s v="Electronics"/>
    <x v="0"/>
    <x v="3"/>
    <n v="402500"/>
    <n v="0.08"/>
    <x v="716"/>
    <n v="300000"/>
    <n v="70300"/>
    <s v="Bank Transfer"/>
    <s v="May Zin"/>
    <s v="Completed"/>
  </r>
  <r>
    <s v="ORD-00016"/>
    <x v="368"/>
    <s v="CUST-0113"/>
    <s v="Customer 113"/>
    <x v="1"/>
    <s v="Naypyidaw"/>
    <s v="Electronics"/>
    <x v="8"/>
    <x v="6"/>
    <n v="623700"/>
    <n v="0.08"/>
    <x v="717"/>
    <n v="1880000"/>
    <n v="415216"/>
    <s v="Bank Transfer"/>
    <s v="Nandar"/>
    <s v="Completed"/>
  </r>
  <r>
    <s v="ORD-00772"/>
    <x v="368"/>
    <s v="CUST-0017"/>
    <s v="Customer 017"/>
    <x v="4"/>
    <s v="Muse"/>
    <s v="Electronics"/>
    <x v="5"/>
    <x v="2"/>
    <n v="89600"/>
    <n v="0.05"/>
    <x v="718"/>
    <n v="330000"/>
    <n v="180720"/>
    <s v="Cash"/>
    <s v="Htet Htet"/>
    <s v="Completed"/>
  </r>
  <r>
    <s v="ORD-00584"/>
    <x v="369"/>
    <s v="CUST-0002"/>
    <s v="Customer 002"/>
    <x v="3"/>
    <s v="Taungoo"/>
    <s v="Furniture"/>
    <x v="2"/>
    <x v="2"/>
    <n v="535600"/>
    <n v="0.02"/>
    <x v="719"/>
    <n v="2190000"/>
    <n v="959328"/>
    <s v="Cash"/>
    <s v="Aung Aung"/>
    <s v="Completed"/>
  </r>
  <r>
    <s v="ORD-00881"/>
    <x v="370"/>
    <s v="CUST-0093"/>
    <s v="Customer 093"/>
    <x v="2"/>
    <s v="Amarapura"/>
    <s v="Accessories"/>
    <x v="14"/>
    <x v="2"/>
    <n v="74100"/>
    <n v="0"/>
    <x v="720"/>
    <n v="258000"/>
    <n v="186600"/>
    <s v="Cash"/>
    <s v="Nandar"/>
    <s v="Completed"/>
  </r>
  <r>
    <s v="ORD-00326"/>
    <x v="370"/>
    <s v="CUST-0124"/>
    <s v="Customer 124"/>
    <x v="2"/>
    <s v="Mandalay"/>
    <s v="Electronics"/>
    <x v="5"/>
    <x v="5"/>
    <n v="91400"/>
    <n v="0"/>
    <x v="721"/>
    <n v="385000"/>
    <n v="254800"/>
    <s v="KBZ Pay"/>
    <s v="Nandar"/>
    <s v="Completed"/>
  </r>
  <r>
    <s v="ORD-00927"/>
    <x v="370"/>
    <s v="CUST-0195"/>
    <s v="Customer 195"/>
    <x v="0"/>
    <s v="Yangon"/>
    <s v="Office Supplies"/>
    <x v="1"/>
    <x v="2"/>
    <n v="25800"/>
    <n v="0.1"/>
    <x v="722"/>
    <n v="-90000"/>
    <n v="-49320"/>
    <s v="KBZ Pay"/>
    <s v="Kyaw Kyaw"/>
    <s v="Returned"/>
  </r>
  <r>
    <s v="ORD-00425"/>
    <x v="370"/>
    <s v="CUST-0012"/>
    <s v="Customer 012"/>
    <x v="0"/>
    <s v="Tamwe"/>
    <s v="Office Supplies"/>
    <x v="11"/>
    <x v="5"/>
    <n v="225900"/>
    <n v="0.05"/>
    <x v="723"/>
    <n v="1155000"/>
    <n v="347235"/>
    <s v="Credit Card"/>
    <s v="Thiri"/>
    <s v="Completed"/>
  </r>
  <r>
    <s v="ORD-00509"/>
    <x v="370"/>
    <s v="CUST-0166"/>
    <s v="Customer 166"/>
    <x v="0"/>
    <s v="Tamwe"/>
    <s v="Electronics"/>
    <x v="8"/>
    <x v="4"/>
    <n v="610700"/>
    <n v="0"/>
    <x v="724"/>
    <n v="-1410000"/>
    <n v="-422100"/>
    <s v="Wave Money"/>
    <s v="Nandar"/>
    <s v="Returned"/>
  </r>
  <r>
    <s v="ORD-00937"/>
    <x v="371"/>
    <s v="CUST-0158"/>
    <s v="Customer 158"/>
    <x v="0"/>
    <s v="Tamwe"/>
    <s v="Electronics"/>
    <x v="5"/>
    <x v="5"/>
    <n v="90600"/>
    <n v="0.05"/>
    <x v="725"/>
    <n v="385000"/>
    <n v="217490"/>
    <s v="Bank Transfer"/>
    <s v="Htet Htet"/>
    <s v="Completed"/>
  </r>
  <r>
    <s v="ORD-00089"/>
    <x v="371"/>
    <s v="CUST-0198"/>
    <s v="Customer 198"/>
    <x v="1"/>
    <s v="Naypyidaw"/>
    <s v="Office Supplies"/>
    <x v="1"/>
    <x v="6"/>
    <n v="29800"/>
    <n v="0.02"/>
    <x v="726"/>
    <n v="60000"/>
    <n v="56816"/>
    <s v="Credit Card"/>
    <s v="Thiri"/>
    <s v="Completed"/>
  </r>
  <r>
    <s v="ORD-00742"/>
    <x v="372"/>
    <s v="CUST-0058"/>
    <s v="Customer 058"/>
    <x v="0"/>
    <s v="Mayangone"/>
    <s v="Accessories"/>
    <x v="7"/>
    <x v="0"/>
    <n v="31100"/>
    <n v="0.08"/>
    <x v="727"/>
    <n v="90000"/>
    <n v="53060"/>
    <s v="Bank Transfer"/>
    <s v="Aung Aung"/>
    <s v="Completed"/>
  </r>
  <r>
    <s v="ORD-00969"/>
    <x v="372"/>
    <s v="CUST-0219"/>
    <s v="Customer 219"/>
    <x v="1"/>
    <s v="Pyinmana"/>
    <s v="Furniture"/>
    <x v="9"/>
    <x v="0"/>
    <n v="192400"/>
    <n v="0.02"/>
    <x v="728"/>
    <n v="575000"/>
    <n v="367760"/>
    <s v="Cash"/>
    <s v="Thiri"/>
    <s v="Completed"/>
  </r>
  <r>
    <s v="ORD-00666"/>
    <x v="372"/>
    <s v="CUST-0197"/>
    <s v="Customer 197"/>
    <x v="0"/>
    <s v="Yangon"/>
    <s v="Electronics"/>
    <x v="5"/>
    <x v="1"/>
    <n v="99300"/>
    <n v="0.02"/>
    <x v="729"/>
    <n v="110000"/>
    <n v="84628"/>
    <s v="Credit Card"/>
    <s v="Min Min"/>
    <s v="Completed"/>
  </r>
  <r>
    <s v="ORD-00513"/>
    <x v="373"/>
    <s v="CUST-0080"/>
    <s v="Customer 080"/>
    <x v="0"/>
    <s v="Yangon"/>
    <s v="Accessories"/>
    <x v="14"/>
    <x v="0"/>
    <n v="79300"/>
    <n v="0"/>
    <x v="730"/>
    <n v="215000"/>
    <n v="181500"/>
    <s v="KBZ Pay"/>
    <s v="Htet Htet"/>
    <s v="Completed"/>
  </r>
  <r>
    <s v="ORD-00110"/>
    <x v="373"/>
    <s v="CUST-0108"/>
    <s v="Customer 108"/>
    <x v="2"/>
    <s v="Amarapura"/>
    <s v="Electronics"/>
    <x v="0"/>
    <x v="1"/>
    <n v="421500"/>
    <n v="0.05"/>
    <x v="731"/>
    <n v="600000"/>
    <n v="200850"/>
    <s v="Wave Money"/>
    <s v="Htet Htet"/>
    <s v="Completed"/>
  </r>
  <r>
    <s v="ORD-00315"/>
    <x v="374"/>
    <s v="CUST-0065"/>
    <s v="Customer 065"/>
    <x v="0"/>
    <s v="Yangon"/>
    <s v="Office Supplies"/>
    <x v="11"/>
    <x v="6"/>
    <n v="245100"/>
    <n v="0"/>
    <x v="732"/>
    <n v="660000"/>
    <n v="320400"/>
    <s v="Cash"/>
    <s v="May Zin"/>
    <s v="Completed"/>
  </r>
  <r>
    <s v="ORD-00026"/>
    <x v="375"/>
    <s v="CUST-0046"/>
    <s v="Customer 046"/>
    <x v="0"/>
    <s v="Yangon"/>
    <s v="Office Supplies"/>
    <x v="11"/>
    <x v="4"/>
    <n v="250300"/>
    <n v="0"/>
    <x v="8"/>
    <n v="0"/>
    <n v="0"/>
    <s v="Bank Transfer"/>
    <s v="Thiri"/>
    <s v="Cancelled"/>
  </r>
  <r>
    <s v="ORD-00896"/>
    <x v="376"/>
    <s v="CUST-0207"/>
    <s v="Customer 207"/>
    <x v="1"/>
    <s v="Naypyidaw"/>
    <s v="Furniture"/>
    <x v="9"/>
    <x v="5"/>
    <n v="168900"/>
    <n v="0"/>
    <x v="733"/>
    <n v="805000"/>
    <n v="377300"/>
    <s v="Cash"/>
    <s v="Su Su"/>
    <s v="Completed"/>
  </r>
  <r>
    <s v="ORD-00203"/>
    <x v="377"/>
    <s v="CUST-0169"/>
    <s v="Customer 169"/>
    <x v="2"/>
    <s v="Amarapura"/>
    <s v="Furniture"/>
    <x v="6"/>
    <x v="1"/>
    <n v="322000"/>
    <n v="0.08"/>
    <x v="734"/>
    <n v="420000"/>
    <n v="172480"/>
    <s v="KBZ Pay"/>
    <s v="Nandar"/>
    <s v="Completed"/>
  </r>
  <r>
    <s v="ORD-00566"/>
    <x v="378"/>
    <s v="CUST-0095"/>
    <s v="Customer 095"/>
    <x v="2"/>
    <s v="Mandalay"/>
    <s v="Furniture"/>
    <x v="6"/>
    <x v="2"/>
    <n v="306700"/>
    <n v="0.05"/>
    <x v="735"/>
    <n v="1260000"/>
    <n v="488190"/>
    <s v="KBZ Pay"/>
    <s v="Kyaw Kyaw"/>
    <s v="Completed"/>
  </r>
  <r>
    <s v="ORD-00128"/>
    <x v="378"/>
    <s v="CUST-0210"/>
    <s v="Customer 210"/>
    <x v="0"/>
    <s v="Tamwe"/>
    <s v="Electronics"/>
    <x v="5"/>
    <x v="2"/>
    <n v="98200"/>
    <n v="0.05"/>
    <x v="736"/>
    <n v="330000"/>
    <n v="229740"/>
    <s v="Wave Money"/>
    <s v="Su Su"/>
    <s v="Completed"/>
  </r>
  <r>
    <s v="ORD-00786"/>
    <x v="379"/>
    <s v="CUST-0154"/>
    <s v="Customer 154"/>
    <x v="2"/>
    <s v="Chanmyathazi"/>
    <s v="Furniture"/>
    <x v="2"/>
    <x v="0"/>
    <n v="532100"/>
    <n v="0"/>
    <x v="737"/>
    <n v="1825000"/>
    <n v="835500"/>
    <s v="Bank Transfer"/>
    <s v="Aung Aung"/>
    <s v="Completed"/>
  </r>
  <r>
    <s v="ORD-00230"/>
    <x v="379"/>
    <s v="CUST-0214"/>
    <s v="Customer 214"/>
    <x v="2"/>
    <s v="Chanmyathazi"/>
    <s v="Furniture"/>
    <x v="6"/>
    <x v="4"/>
    <n v="329900"/>
    <n v="0.08"/>
    <x v="738"/>
    <n v="630000"/>
    <n v="280524"/>
    <s v="KBZ Pay"/>
    <s v="Min Min"/>
    <s v="Completed"/>
  </r>
  <r>
    <s v="ORD-00197"/>
    <x v="380"/>
    <s v="CUST-0183"/>
    <s v="Customer 183"/>
    <x v="0"/>
    <s v="Yangon"/>
    <s v="Office Supplies"/>
    <x v="1"/>
    <x v="6"/>
    <n v="26500"/>
    <n v="0"/>
    <x v="739"/>
    <n v="60000"/>
    <n v="46000"/>
    <s v="KBZ Pay"/>
    <s v="Aung Aung"/>
    <s v="Completed"/>
  </r>
  <r>
    <s v="ORD-00648"/>
    <x v="380"/>
    <s v="CUST-0084"/>
    <s v="Customer 084"/>
    <x v="2"/>
    <s v="Mandalay"/>
    <s v="Accessories"/>
    <x v="12"/>
    <x v="3"/>
    <n v="90700"/>
    <n v="0.1"/>
    <x v="740"/>
    <n v="52000"/>
    <n v="29630"/>
    <s v="KBZ Pay"/>
    <s v="Aung Aung"/>
    <s v="Completed"/>
  </r>
  <r>
    <s v="ORD-00198"/>
    <x v="380"/>
    <s v="CUST-0120"/>
    <s v="Customer 120"/>
    <x v="2"/>
    <s v="Amarapura"/>
    <s v="Office Supplies"/>
    <x v="13"/>
    <x v="6"/>
    <n v="43100"/>
    <n v="0"/>
    <x v="741"/>
    <n v="104000"/>
    <n v="68400"/>
    <s v="Cash"/>
    <s v="Thiri"/>
    <s v="Completed"/>
  </r>
  <r>
    <s v="ORD-00020"/>
    <x v="381"/>
    <s v="CUST-0099"/>
    <s v="Customer 099"/>
    <x v="1"/>
    <s v="Pyinmana"/>
    <s v="Accessories"/>
    <x v="7"/>
    <x v="4"/>
    <n v="31200"/>
    <n v="0"/>
    <x v="742"/>
    <n v="-54000"/>
    <n v="-39600"/>
    <s v="KBZ Pay"/>
    <s v="May Zin"/>
    <s v="Returned"/>
  </r>
  <r>
    <s v="ORD-00119"/>
    <x v="382"/>
    <s v="CUST-0068"/>
    <s v="Customer 068"/>
    <x v="2"/>
    <s v="Amarapura"/>
    <s v="Furniture"/>
    <x v="2"/>
    <x v="4"/>
    <n v="497100"/>
    <n v="0.02"/>
    <x v="743"/>
    <n v="1095000"/>
    <n v="366474"/>
    <s v="Cash"/>
    <s v="Kyaw Kyaw"/>
    <s v="Completed"/>
  </r>
  <r>
    <s v="ORD-00807"/>
    <x v="382"/>
    <s v="CUST-0082"/>
    <s v="Customer 082"/>
    <x v="1"/>
    <s v="Naypyidaw"/>
    <s v="Electronics"/>
    <x v="5"/>
    <x v="3"/>
    <n v="91200"/>
    <n v="0.08"/>
    <x v="744"/>
    <n v="55000"/>
    <n v="28904"/>
    <s v="Wave Money"/>
    <s v="Su Su"/>
    <s v="Completed"/>
  </r>
  <r>
    <s v="ORD-00986"/>
    <x v="382"/>
    <s v="CUST-0219"/>
    <s v="Customer 219"/>
    <x v="2"/>
    <s v="Mandalay"/>
    <s v="Electronics"/>
    <x v="5"/>
    <x v="2"/>
    <n v="94300"/>
    <n v="0.05"/>
    <x v="745"/>
    <n v="330000"/>
    <n v="207510"/>
    <s v="Credit Card"/>
    <s v="Aung Aung"/>
    <s v="Completed"/>
  </r>
  <r>
    <s v="ORD-00408"/>
    <x v="382"/>
    <s v="CUST-0017"/>
    <s v="Customer 017"/>
    <x v="0"/>
    <s v="Yangon"/>
    <s v="Furniture"/>
    <x v="9"/>
    <x v="2"/>
    <n v="191400"/>
    <n v="0.08"/>
    <x v="746"/>
    <n v="690000"/>
    <n v="366528"/>
    <s v="Cash"/>
    <s v="Kyaw Kyaw"/>
    <s v="Completed"/>
  </r>
  <r>
    <s v="ORD-00955"/>
    <x v="383"/>
    <s v="CUST-0008"/>
    <s v="Customer 008"/>
    <x v="0"/>
    <s v="Mayangone"/>
    <s v="Furniture"/>
    <x v="9"/>
    <x v="5"/>
    <n v="171500"/>
    <n v="0"/>
    <x v="747"/>
    <n v="805000"/>
    <n v="395500"/>
    <s v="Bank Transfer"/>
    <s v="Nandar"/>
    <s v="Completed"/>
  </r>
  <r>
    <s v="ORD-00492"/>
    <x v="384"/>
    <s v="CUST-0072"/>
    <s v="Customer 072"/>
    <x v="4"/>
    <s v="Muse"/>
    <s v="Electronics"/>
    <x v="0"/>
    <x v="2"/>
    <n v="429500"/>
    <n v="0"/>
    <x v="748"/>
    <n v="1800000"/>
    <n v="777000"/>
    <s v="Wave Money"/>
    <s v="Su Su"/>
    <s v="Completed"/>
  </r>
  <r>
    <s v="ORD-00791"/>
    <x v="385"/>
    <s v="CUST-0081"/>
    <s v="Customer 081"/>
    <x v="2"/>
    <s v="Mandalay"/>
    <s v="Electronics"/>
    <x v="0"/>
    <x v="3"/>
    <n v="446500"/>
    <n v="0.08"/>
    <x v="749"/>
    <n v="300000"/>
    <n v="110780"/>
    <s v="KBZ Pay"/>
    <s v="May Zin"/>
    <s v="Completed"/>
  </r>
  <r>
    <s v="ORD-00397"/>
    <x v="385"/>
    <s v="CUST-0191"/>
    <s v="Customer 191"/>
    <x v="3"/>
    <s v="Pyay"/>
    <s v="Electronics"/>
    <x v="5"/>
    <x v="4"/>
    <n v="100300"/>
    <n v="0"/>
    <x v="8"/>
    <n v="0"/>
    <n v="0"/>
    <s v="Cash"/>
    <s v="Htet Htet"/>
    <s v="Cancelled"/>
  </r>
  <r>
    <s v="ORD-00407"/>
    <x v="386"/>
    <s v="CUST-0249"/>
    <s v="Customer 249"/>
    <x v="0"/>
    <s v="Tamwe"/>
    <s v="Electronics"/>
    <x v="5"/>
    <x v="3"/>
    <n v="94400"/>
    <n v="0.02"/>
    <x v="750"/>
    <n v="55000"/>
    <n v="37512"/>
    <s v="Cash"/>
    <s v="May Zin"/>
    <s v="Completed"/>
  </r>
  <r>
    <s v="ORD-00283"/>
    <x v="387"/>
    <s v="CUST-0031"/>
    <s v="Customer 031"/>
    <x v="0"/>
    <s v="Hlaing"/>
    <s v="Furniture"/>
    <x v="6"/>
    <x v="6"/>
    <n v="327800"/>
    <n v="0"/>
    <x v="751"/>
    <n v="840000"/>
    <n v="471200"/>
    <s v="Credit Card"/>
    <s v="Su Su"/>
    <s v="Completed"/>
  </r>
  <r>
    <s v="ORD-00570"/>
    <x v="388"/>
    <s v="CUST-0020"/>
    <s v="Customer 020"/>
    <x v="4"/>
    <s v="Taunggyi"/>
    <s v="Office Supplies"/>
    <x v="1"/>
    <x v="4"/>
    <n v="28800"/>
    <n v="0.05"/>
    <x v="752"/>
    <n v="45000"/>
    <n v="37080"/>
    <s v="Wave Money"/>
    <s v="Aung Aung"/>
    <s v="Completed"/>
  </r>
  <r>
    <s v="ORD-00260"/>
    <x v="389"/>
    <s v="CUST-0123"/>
    <s v="Customer 123"/>
    <x v="0"/>
    <s v="Mayangone"/>
    <s v="Electronics"/>
    <x v="5"/>
    <x v="0"/>
    <n v="89700"/>
    <n v="0.05"/>
    <x v="753"/>
    <n v="275000"/>
    <n v="151075"/>
    <s v="Bank Transfer"/>
    <s v="May Zin"/>
    <s v="Completed"/>
  </r>
  <r>
    <s v="ORD-00096"/>
    <x v="389"/>
    <s v="CUST-0112"/>
    <s v="Customer 112"/>
    <x v="1"/>
    <s v="Naypyidaw"/>
    <s v="Office Supplies"/>
    <x v="1"/>
    <x v="1"/>
    <n v="25800"/>
    <n v="0"/>
    <x v="754"/>
    <n v="30000"/>
    <n v="21600"/>
    <s v="Wave Money"/>
    <s v="Thiri"/>
    <s v="Completed"/>
  </r>
  <r>
    <s v="ORD-00900"/>
    <x v="389"/>
    <s v="CUST-0215"/>
    <s v="Customer 215"/>
    <x v="3"/>
    <s v="Bago"/>
    <s v="Electronics"/>
    <x v="0"/>
    <x v="6"/>
    <n v="411900"/>
    <n v="0.05"/>
    <x v="8"/>
    <n v="0"/>
    <n v="0"/>
    <s v="Wave Money"/>
    <s v="Min Min"/>
    <s v="Cancelled"/>
  </r>
  <r>
    <s v="ORD-00136"/>
    <x v="390"/>
    <s v="CUST-0110"/>
    <s v="Customer 110"/>
    <x v="0"/>
    <s v="Mayangone"/>
    <s v="Office Supplies"/>
    <x v="11"/>
    <x v="0"/>
    <n v="226500"/>
    <n v="0.05"/>
    <x v="755"/>
    <n v="825000"/>
    <n v="250875"/>
    <s v="KBZ Pay"/>
    <s v="May Zin"/>
    <s v="Completed"/>
  </r>
  <r>
    <s v="ORD-00958"/>
    <x v="391"/>
    <s v="CUST-0247"/>
    <s v="Customer 247"/>
    <x v="0"/>
    <s v="Tamwe"/>
    <s v="Office Supplies"/>
    <x v="1"/>
    <x v="1"/>
    <n v="30000"/>
    <n v="0.08"/>
    <x v="756"/>
    <n v="30000"/>
    <n v="25200"/>
    <s v="Cash"/>
    <s v="Nandar"/>
    <s v="Completed"/>
  </r>
  <r>
    <s v="ORD-00838"/>
    <x v="391"/>
    <s v="CUST-0062"/>
    <s v="Customer 062"/>
    <x v="3"/>
    <s v="Pyay"/>
    <s v="Furniture"/>
    <x v="2"/>
    <x v="0"/>
    <n v="553800"/>
    <n v="0.1"/>
    <x v="757"/>
    <n v="1825000"/>
    <n v="667100"/>
    <s v="Cash"/>
    <s v="Min Min"/>
    <s v="Completed"/>
  </r>
  <r>
    <s v="ORD-00858"/>
    <x v="391"/>
    <s v="CUST-0174"/>
    <s v="Customer 174"/>
    <x v="2"/>
    <s v="Mandalay"/>
    <s v="Electronics"/>
    <x v="0"/>
    <x v="4"/>
    <n v="409000"/>
    <n v="0.05"/>
    <x v="758"/>
    <n v="900000"/>
    <n v="265650"/>
    <s v="Wave Money"/>
    <s v="Su Su"/>
    <s v="Completed"/>
  </r>
  <r>
    <s v="ORD-00686"/>
    <x v="392"/>
    <s v="CUST-0236"/>
    <s v="Customer 236"/>
    <x v="0"/>
    <s v="Yangon"/>
    <s v="Electronics"/>
    <x v="5"/>
    <x v="6"/>
    <n v="99200"/>
    <n v="0.08"/>
    <x v="759"/>
    <n v="220000"/>
    <n v="145056"/>
    <s v="KBZ Pay"/>
    <s v="Min Min"/>
    <s v="Completed"/>
  </r>
  <r>
    <s v="ORD-00561"/>
    <x v="392"/>
    <s v="CUST-0207"/>
    <s v="Customer 207"/>
    <x v="2"/>
    <s v="Chanmyathazi"/>
    <s v="Electronics"/>
    <x v="5"/>
    <x v="5"/>
    <n v="100700"/>
    <n v="0.02"/>
    <x v="760"/>
    <n v="385000"/>
    <n v="305802"/>
    <s v="Credit Card"/>
    <s v="May Zin"/>
    <s v="Completed"/>
  </r>
  <r>
    <s v="ORD-00841"/>
    <x v="392"/>
    <s v="CUST-0146"/>
    <s v="Customer 146"/>
    <x v="0"/>
    <s v="Mayangone"/>
    <s v="Electronics"/>
    <x v="5"/>
    <x v="6"/>
    <n v="93500"/>
    <n v="0.02"/>
    <x v="761"/>
    <n v="220000"/>
    <n v="146520"/>
    <s v="KBZ Pay"/>
    <s v="Htet Htet"/>
    <s v="Completed"/>
  </r>
  <r>
    <s v="ORD-00291"/>
    <x v="393"/>
    <s v="CUST-0079"/>
    <s v="Customer 079"/>
    <x v="2"/>
    <s v="Amarapura"/>
    <s v="Electronics"/>
    <x v="5"/>
    <x v="4"/>
    <n v="98200"/>
    <n v="0.15"/>
    <x v="762"/>
    <n v="165000"/>
    <n v="85410"/>
    <s v="Bank Transfer"/>
    <s v="Htet Htet"/>
    <s v="Completed"/>
  </r>
  <r>
    <s v="ORD-00314"/>
    <x v="393"/>
    <s v="CUST-0009"/>
    <s v="Customer 009"/>
    <x v="3"/>
    <s v="Taungoo"/>
    <s v="Office Supplies"/>
    <x v="4"/>
    <x v="4"/>
    <n v="374800"/>
    <n v="0.08"/>
    <x v="763"/>
    <n v="840000"/>
    <n v="194448"/>
    <s v="KBZ Pay"/>
    <s v="Aung Aung"/>
    <s v="Completed"/>
  </r>
  <r>
    <s v="ORD-00963"/>
    <x v="394"/>
    <s v="CUST-0013"/>
    <s v="Customer 013"/>
    <x v="2"/>
    <s v="Chanmyathazi"/>
    <s v="Electronics"/>
    <x v="3"/>
    <x v="2"/>
    <n v="1335500"/>
    <n v="0.05"/>
    <x v="764"/>
    <n v="5700000"/>
    <n v="1912350"/>
    <s v="Cash"/>
    <s v="Kyaw Kyaw"/>
    <s v="Completed"/>
  </r>
  <r>
    <s v="ORD-00360"/>
    <x v="394"/>
    <s v="CUST-0155"/>
    <s v="Customer 155"/>
    <x v="0"/>
    <s v="Hlaing"/>
    <s v="Furniture"/>
    <x v="6"/>
    <x v="3"/>
    <n v="311400"/>
    <n v="0.08"/>
    <x v="765"/>
    <n v="210000"/>
    <n v="76488"/>
    <s v="Bank Transfer"/>
    <s v="Htet Htet"/>
    <s v="Completed"/>
  </r>
  <r>
    <s v="ORD-00069"/>
    <x v="395"/>
    <s v="CUST-0126"/>
    <s v="Customer 126"/>
    <x v="0"/>
    <s v="Tamwe"/>
    <s v="Electronics"/>
    <x v="3"/>
    <x v="5"/>
    <n v="1225500"/>
    <n v="0"/>
    <x v="766"/>
    <n v="6650000"/>
    <n v="1928500"/>
    <s v="KBZ Pay"/>
    <s v="Htet Htet"/>
    <s v="Completed"/>
  </r>
  <r>
    <s v="ORD-00118"/>
    <x v="395"/>
    <s v="CUST-0061"/>
    <s v="Customer 061"/>
    <x v="3"/>
    <s v="Taungoo"/>
    <s v="Furniture"/>
    <x v="9"/>
    <x v="5"/>
    <n v="171800"/>
    <n v="0.05"/>
    <x v="767"/>
    <n v="805000"/>
    <n v="337470"/>
    <s v="Cash"/>
    <s v="Min Min"/>
    <s v="Completed"/>
  </r>
  <r>
    <s v="ORD-00616"/>
    <x v="395"/>
    <s v="CUST-0009"/>
    <s v="Customer 009"/>
    <x v="4"/>
    <s v="Lashio"/>
    <s v="Accessories"/>
    <x v="7"/>
    <x v="0"/>
    <n v="30700"/>
    <n v="0.05"/>
    <x v="768"/>
    <n v="90000"/>
    <n v="55825"/>
    <s v="KBZ Pay"/>
    <s v="Kyaw Kyaw"/>
    <s v="Completed"/>
  </r>
  <r>
    <s v="ORD-00105"/>
    <x v="396"/>
    <s v="CUST-0171"/>
    <s v="Customer 171"/>
    <x v="2"/>
    <s v="Amarapura"/>
    <s v="Office Supplies"/>
    <x v="13"/>
    <x v="0"/>
    <n v="43900"/>
    <n v="0.02"/>
    <x v="769"/>
    <n v="130000"/>
    <n v="85110"/>
    <s v="Bank Transfer"/>
    <s v="Nandar"/>
    <s v="Completed"/>
  </r>
  <r>
    <s v="ORD-00483"/>
    <x v="397"/>
    <s v="CUST-0073"/>
    <s v="Customer 073"/>
    <x v="0"/>
    <s v="Hlaing"/>
    <s v="Accessories"/>
    <x v="12"/>
    <x v="0"/>
    <n v="89200"/>
    <n v="0.05"/>
    <x v="770"/>
    <n v="260000"/>
    <n v="163700"/>
    <s v="Wave Money"/>
    <s v="Aung Aung"/>
    <s v="Completed"/>
  </r>
  <r>
    <s v="ORD-00445"/>
    <x v="397"/>
    <s v="CUST-0157"/>
    <s v="Customer 157"/>
    <x v="0"/>
    <s v="Mayangone"/>
    <s v="Electronics"/>
    <x v="5"/>
    <x v="6"/>
    <n v="88900"/>
    <n v="0"/>
    <x v="8"/>
    <n v="0"/>
    <n v="0"/>
    <s v="Wave Money"/>
    <s v="Kyaw Kyaw"/>
    <s v="Cancelled"/>
  </r>
  <r>
    <s v="ORD-00410"/>
    <x v="398"/>
    <s v="CUST-0162"/>
    <s v="Customer 162"/>
    <x v="0"/>
    <s v="Yangon"/>
    <s v="Electronics"/>
    <x v="5"/>
    <x v="4"/>
    <n v="87700"/>
    <n v="0.08"/>
    <x v="771"/>
    <n v="165000"/>
    <n v="77052"/>
    <s v="Cash"/>
    <s v="Su Su"/>
    <s v="Completed"/>
  </r>
  <r>
    <s v="ORD-00190"/>
    <x v="399"/>
    <s v="CUST-0042"/>
    <s v="Customer 042"/>
    <x v="0"/>
    <s v="Mayangone"/>
    <s v="Electronics"/>
    <x v="8"/>
    <x v="4"/>
    <n v="637100"/>
    <n v="0.02"/>
    <x v="772"/>
    <n v="1410000"/>
    <n v="463074"/>
    <s v="Bank Transfer"/>
    <s v="Thiri"/>
    <s v="Completed"/>
  </r>
  <r>
    <s v="ORD-00023"/>
    <x v="399"/>
    <s v="CUST-0228"/>
    <s v="Customer 228"/>
    <x v="4"/>
    <s v="Taunggyi"/>
    <s v="Electronics"/>
    <x v="5"/>
    <x v="2"/>
    <n v="95700"/>
    <n v="0.08"/>
    <x v="773"/>
    <n v="330000"/>
    <n v="198264"/>
    <s v="Cash"/>
    <s v="Aung Aung"/>
    <s v="Completed"/>
  </r>
  <r>
    <s v="ORD-00302"/>
    <x v="400"/>
    <s v="CUST-0022"/>
    <s v="Customer 022"/>
    <x v="2"/>
    <s v="Chanmyathazi"/>
    <s v="Office Supplies"/>
    <x v="11"/>
    <x v="1"/>
    <n v="233200"/>
    <n v="0.1"/>
    <x v="774"/>
    <n v="330000"/>
    <n v="89760"/>
    <s v="Wave Money"/>
    <s v="Thiri"/>
    <s v="Completed"/>
  </r>
  <r>
    <s v="ORD-00151"/>
    <x v="401"/>
    <s v="CUST-0120"/>
    <s v="Customer 120"/>
    <x v="0"/>
    <s v="Hlaing"/>
    <s v="Electronics"/>
    <x v="3"/>
    <x v="4"/>
    <n v="1297300"/>
    <n v="0.08"/>
    <x v="775"/>
    <n v="2850000"/>
    <n v="730548"/>
    <s v="Cash"/>
    <s v="Htet Htet"/>
    <s v="Completed"/>
  </r>
  <r>
    <s v="ORD-00857"/>
    <x v="402"/>
    <s v="CUST-0134"/>
    <s v="Customer 134"/>
    <x v="1"/>
    <s v="Pyinmana"/>
    <s v="Electronics"/>
    <x v="8"/>
    <x v="6"/>
    <n v="685700"/>
    <n v="0.02"/>
    <x v="776"/>
    <n v="1880000"/>
    <n v="807944"/>
    <s v="KBZ Pay"/>
    <s v="May Zin"/>
    <s v="Completed"/>
  </r>
  <r>
    <s v="ORD-00615"/>
    <x v="402"/>
    <s v="CUST-0133"/>
    <s v="Customer 133"/>
    <x v="0"/>
    <s v="Tamwe"/>
    <s v="Accessories"/>
    <x v="12"/>
    <x v="6"/>
    <n v="86800"/>
    <n v="0.05"/>
    <x v="777"/>
    <n v="208000"/>
    <n v="121840"/>
    <s v="Wave Money"/>
    <s v="Aung Aung"/>
    <s v="Completed"/>
  </r>
  <r>
    <s v="ORD-00834"/>
    <x v="403"/>
    <s v="CUST-0169"/>
    <s v="Customer 169"/>
    <x v="4"/>
    <s v="Taunggyi"/>
    <s v="Electronics"/>
    <x v="8"/>
    <x v="2"/>
    <n v="615100"/>
    <n v="0.02"/>
    <x v="778"/>
    <n v="2820000"/>
    <n v="796788"/>
    <s v="Bank Transfer"/>
    <s v="Su Su"/>
    <s v="Completed"/>
  </r>
  <r>
    <s v="ORD-00420"/>
    <x v="403"/>
    <s v="CUST-0175"/>
    <s v="Customer 175"/>
    <x v="4"/>
    <s v="Muse"/>
    <s v="Office Supplies"/>
    <x v="13"/>
    <x v="3"/>
    <n v="43600"/>
    <n v="0"/>
    <x v="779"/>
    <n v="26000"/>
    <n v="17600"/>
    <s v="Bank Transfer"/>
    <s v="Thiri"/>
    <s v="Completed"/>
  </r>
  <r>
    <s v="ORD-00176"/>
    <x v="403"/>
    <s v="CUST-0030"/>
    <s v="Customer 030"/>
    <x v="4"/>
    <s v="Taunggyi"/>
    <s v="Electronics"/>
    <x v="0"/>
    <x v="2"/>
    <n v="453100"/>
    <n v="0.1"/>
    <x v="780"/>
    <n v="1800000"/>
    <n v="646740"/>
    <s v="Cash"/>
    <s v="Thiri"/>
    <s v="Completed"/>
  </r>
  <r>
    <s v="ORD-00486"/>
    <x v="404"/>
    <s v="CUST-0247"/>
    <s v="Customer 247"/>
    <x v="1"/>
    <s v="Naypyidaw"/>
    <s v="Electronics"/>
    <x v="8"/>
    <x v="6"/>
    <n v="625700"/>
    <n v="0.02"/>
    <x v="781"/>
    <n v="1880000"/>
    <n v="572744"/>
    <s v="Bank Transfer"/>
    <s v="Thiri"/>
    <s v="Completed"/>
  </r>
  <r>
    <s v="ORD-00587"/>
    <x v="405"/>
    <s v="CUST-0237"/>
    <s v="Customer 237"/>
    <x v="2"/>
    <s v="Amarapura"/>
    <s v="Accessories"/>
    <x v="10"/>
    <x v="1"/>
    <n v="91900"/>
    <n v="0.05"/>
    <x v="782"/>
    <n v="116000"/>
    <n v="58610"/>
    <s v="Wave Money"/>
    <s v="May Zin"/>
    <s v="Completed"/>
  </r>
  <r>
    <s v="ORD-00812"/>
    <x v="405"/>
    <s v="CUST-0069"/>
    <s v="Customer 069"/>
    <x v="1"/>
    <s v="Zabuthiri"/>
    <s v="Accessories"/>
    <x v="7"/>
    <x v="4"/>
    <n v="33600"/>
    <n v="0.02"/>
    <x v="783"/>
    <n v="54000"/>
    <n v="44784"/>
    <s v="KBZ Pay"/>
    <s v="May Zin"/>
    <s v="Completed"/>
  </r>
  <r>
    <s v="ORD-00027"/>
    <x v="406"/>
    <s v="CUST-0191"/>
    <s v="Customer 191"/>
    <x v="0"/>
    <s v="Yangon"/>
    <s v="Accessories"/>
    <x v="7"/>
    <x v="3"/>
    <n v="32300"/>
    <n v="0.05"/>
    <x v="8"/>
    <n v="0"/>
    <n v="0"/>
    <s v="Credit Card"/>
    <s v="Thiri"/>
    <s v="Cancelled"/>
  </r>
  <r>
    <s v="ORD-00833"/>
    <x v="407"/>
    <s v="CUST-0004"/>
    <s v="Customer 004"/>
    <x v="2"/>
    <s v="Chanmyathazi"/>
    <s v="Accessories"/>
    <x v="7"/>
    <x v="0"/>
    <n v="32900"/>
    <n v="0.02"/>
    <x v="784"/>
    <n v="90000"/>
    <n v="71210"/>
    <s v="Cash"/>
    <s v="Su Su"/>
    <s v="Completed"/>
  </r>
  <r>
    <s v="ORD-00374"/>
    <x v="407"/>
    <s v="CUST-0179"/>
    <s v="Customer 179"/>
    <x v="2"/>
    <s v="Chanmyathazi"/>
    <s v="Accessories"/>
    <x v="10"/>
    <x v="4"/>
    <n v="93400"/>
    <n v="0.02"/>
    <x v="785"/>
    <n v="174000"/>
    <n v="100596"/>
    <s v="Wave Money"/>
    <s v="Htet Htet"/>
    <s v="Completed"/>
  </r>
  <r>
    <s v="ORD-00227"/>
    <x v="408"/>
    <s v="CUST-0046"/>
    <s v="Customer 046"/>
    <x v="4"/>
    <s v="Muse"/>
    <s v="Electronics"/>
    <x v="8"/>
    <x v="2"/>
    <n v="698600"/>
    <n v="0.1"/>
    <x v="786"/>
    <n v="2820000"/>
    <n v="952440"/>
    <s v="Wave Money"/>
    <s v="May Zin"/>
    <s v="Completed"/>
  </r>
  <r>
    <s v="ORD-00860"/>
    <x v="409"/>
    <s v="CUST-0047"/>
    <s v="Customer 047"/>
    <x v="2"/>
    <s v="Chanmyathazi"/>
    <s v="Accessories"/>
    <x v="10"/>
    <x v="1"/>
    <n v="83400"/>
    <n v="0.08"/>
    <x v="787"/>
    <n v="116000"/>
    <n v="37456"/>
    <s v="Bank Transfer"/>
    <s v="May Zin"/>
    <s v="Completed"/>
  </r>
  <r>
    <s v="ORD-00555"/>
    <x v="409"/>
    <s v="CUST-0009"/>
    <s v="Customer 009"/>
    <x v="0"/>
    <s v="Mayangone"/>
    <s v="Accessories"/>
    <x v="10"/>
    <x v="6"/>
    <n v="96900"/>
    <n v="0.02"/>
    <x v="788"/>
    <n v="232000"/>
    <n v="147848"/>
    <s v="Wave Money"/>
    <s v="Thiri"/>
    <s v="Completed"/>
  </r>
  <r>
    <s v="ORD-00983"/>
    <x v="409"/>
    <s v="CUST-0095"/>
    <s v="Customer 095"/>
    <x v="3"/>
    <s v="Taungoo"/>
    <s v="Electronics"/>
    <x v="5"/>
    <x v="6"/>
    <n v="95600"/>
    <n v="0"/>
    <x v="789"/>
    <n v="220000"/>
    <n v="162400"/>
    <s v="KBZ Pay"/>
    <s v="May Zin"/>
    <s v="Completed"/>
  </r>
  <r>
    <s v="ORD-00985"/>
    <x v="409"/>
    <s v="CUST-0172"/>
    <s v="Customer 172"/>
    <x v="4"/>
    <s v="Taunggyi"/>
    <s v="Electronics"/>
    <x v="0"/>
    <x v="4"/>
    <n v="408500"/>
    <n v="0.05"/>
    <x v="790"/>
    <n v="-900000"/>
    <n v="-264225"/>
    <s v="Bank Transfer"/>
    <s v="Kyaw Kyaw"/>
    <s v="Returned"/>
  </r>
  <r>
    <s v="ORD-00991"/>
    <x v="410"/>
    <s v="CUST-0056"/>
    <s v="Customer 056"/>
    <x v="2"/>
    <s v="Mandalay"/>
    <s v="Electronics"/>
    <x v="8"/>
    <x v="1"/>
    <n v="630200"/>
    <n v="0.05"/>
    <x v="791"/>
    <n v="940000"/>
    <n v="257380"/>
    <s v="Bank Transfer"/>
    <s v="Aung Aung"/>
    <s v="Completed"/>
  </r>
  <r>
    <s v="ORD-00640"/>
    <x v="410"/>
    <s v="CUST-0173"/>
    <s v="Customer 173"/>
    <x v="0"/>
    <s v="Hlaing"/>
    <s v="Furniture"/>
    <x v="2"/>
    <x v="4"/>
    <n v="482500"/>
    <n v="0.05"/>
    <x v="792"/>
    <n v="1095000"/>
    <n v="280125"/>
    <s v="Credit Card"/>
    <s v="Thiri"/>
    <s v="Completed"/>
  </r>
  <r>
    <s v="ORD-00298"/>
    <x v="410"/>
    <s v="CUST-0190"/>
    <s v="Customer 190"/>
    <x v="0"/>
    <s v="Mayangone"/>
    <s v="Accessories"/>
    <x v="10"/>
    <x v="6"/>
    <n v="96500"/>
    <n v="0.15"/>
    <x v="793"/>
    <n v="232000"/>
    <n v="96100"/>
    <s v="KBZ Pay"/>
    <s v="Aung Aung"/>
    <s v="Completed"/>
  </r>
  <r>
    <s v="ORD-00533"/>
    <x v="411"/>
    <s v="CUST-0107"/>
    <s v="Customer 107"/>
    <x v="3"/>
    <s v="Taungoo"/>
    <s v="Office Supplies"/>
    <x v="1"/>
    <x v="5"/>
    <n v="28200"/>
    <n v="0.05"/>
    <x v="794"/>
    <n v="105000"/>
    <n v="82530"/>
    <s v="Bank Transfer"/>
    <s v="Thiri"/>
    <s v="Completed"/>
  </r>
  <r>
    <s v="ORD-00735"/>
    <x v="412"/>
    <s v="CUST-0200"/>
    <s v="Customer 200"/>
    <x v="0"/>
    <s v="Hlaing"/>
    <s v="Office Supplies"/>
    <x v="11"/>
    <x v="0"/>
    <n v="240100"/>
    <n v="0"/>
    <x v="747"/>
    <n v="825000"/>
    <n v="375500"/>
    <s v="KBZ Pay"/>
    <s v="Min Min"/>
    <s v="Completed"/>
  </r>
  <r>
    <s v="ORD-00013"/>
    <x v="412"/>
    <s v="CUST-0108"/>
    <s v="Customer 108"/>
    <x v="0"/>
    <s v="Tamwe"/>
    <s v="Furniture"/>
    <x v="9"/>
    <x v="1"/>
    <n v="188900"/>
    <n v="0.05"/>
    <x v="795"/>
    <n v="-230000"/>
    <n v="-128910"/>
    <s v="Credit Card"/>
    <s v="Htet Htet"/>
    <s v="Returned"/>
  </r>
  <r>
    <s v="ORD-00043"/>
    <x v="412"/>
    <s v="CUST-0019"/>
    <s v="Customer 019"/>
    <x v="1"/>
    <s v="Pyinmana"/>
    <s v="Electronics"/>
    <x v="3"/>
    <x v="3"/>
    <n v="1251100"/>
    <n v="0.08"/>
    <x v="796"/>
    <n v="950000"/>
    <n v="201012"/>
    <s v="Wave Money"/>
    <s v="Aung Aung"/>
    <s v="Completed"/>
  </r>
  <r>
    <s v="ORD-00868"/>
    <x v="413"/>
    <s v="CUST-0147"/>
    <s v="Customer 147"/>
    <x v="0"/>
    <s v="Hlaing"/>
    <s v="Accessories"/>
    <x v="7"/>
    <x v="2"/>
    <n v="31500"/>
    <n v="0.02"/>
    <x v="797"/>
    <n v="108000"/>
    <n v="77220"/>
    <s v="Credit Card"/>
    <s v="Nandar"/>
    <s v="Completed"/>
  </r>
  <r>
    <s v="ORD-00916"/>
    <x v="414"/>
    <s v="CUST-0107"/>
    <s v="Customer 107"/>
    <x v="0"/>
    <s v="Mayangone"/>
    <s v="Furniture"/>
    <x v="6"/>
    <x v="3"/>
    <n v="293700"/>
    <n v="0.1"/>
    <x v="798"/>
    <n v="210000"/>
    <n v="54330"/>
    <s v="Credit Card"/>
    <s v="Min Min"/>
    <s v="Completed"/>
  </r>
  <r>
    <s v="ORD-00912"/>
    <x v="414"/>
    <s v="CUST-0219"/>
    <s v="Customer 219"/>
    <x v="3"/>
    <s v="Pyay"/>
    <s v="Office Supplies"/>
    <x v="1"/>
    <x v="0"/>
    <n v="28700"/>
    <n v="0"/>
    <x v="799"/>
    <n v="75000"/>
    <n v="68500"/>
    <s v="Cash"/>
    <s v="Htet Htet"/>
    <s v="Completed"/>
  </r>
  <r>
    <s v="ORD-00645"/>
    <x v="414"/>
    <s v="CUST-0090"/>
    <s v="Customer 090"/>
    <x v="0"/>
    <s v="Tamwe"/>
    <s v="Electronics"/>
    <x v="5"/>
    <x v="3"/>
    <n v="99000"/>
    <n v="0.08"/>
    <x v="800"/>
    <n v="55000"/>
    <n v="36080"/>
    <s v="Credit Card"/>
    <s v="Thiri"/>
    <s v="Completed"/>
  </r>
  <r>
    <s v="ORD-00133"/>
    <x v="414"/>
    <s v="CUST-0174"/>
    <s v="Customer 174"/>
    <x v="1"/>
    <s v="Pyinmana"/>
    <s v="Electronics"/>
    <x v="3"/>
    <x v="6"/>
    <n v="1262600"/>
    <n v="0.05"/>
    <x v="801"/>
    <n v="3800000"/>
    <n v="997880"/>
    <s v="Credit Card"/>
    <s v="Aung Aung"/>
    <s v="Completed"/>
  </r>
  <r>
    <s v="ORD-00284"/>
    <x v="415"/>
    <s v="CUST-0137"/>
    <s v="Customer 137"/>
    <x v="0"/>
    <s v="Hlaing"/>
    <s v="Office Supplies"/>
    <x v="11"/>
    <x v="2"/>
    <n v="229100"/>
    <n v="0.08"/>
    <x v="802"/>
    <n v="990000"/>
    <n v="274632"/>
    <s v="KBZ Pay"/>
    <s v="Nandar"/>
    <s v="Completed"/>
  </r>
  <r>
    <s v="ORD-00446"/>
    <x v="415"/>
    <s v="CUST-0070"/>
    <s v="Customer 070"/>
    <x v="4"/>
    <s v="Lashio"/>
    <s v="Office Supplies"/>
    <x v="1"/>
    <x v="1"/>
    <n v="27900"/>
    <n v="0.02"/>
    <x v="803"/>
    <n v="30000"/>
    <n v="24684"/>
    <s v="Credit Card"/>
    <s v="Nandar"/>
    <s v="Completed"/>
  </r>
  <r>
    <s v="ORD-00685"/>
    <x v="415"/>
    <s v="CUST-0188"/>
    <s v="Customer 188"/>
    <x v="0"/>
    <s v="Tamwe"/>
    <s v="Office Supplies"/>
    <x v="11"/>
    <x v="2"/>
    <n v="236700"/>
    <n v="0.02"/>
    <x v="804"/>
    <n v="990000"/>
    <n v="401796"/>
    <s v="Credit Card"/>
    <s v="Htet Htet"/>
    <s v="Completed"/>
  </r>
  <r>
    <s v="ORD-00290"/>
    <x v="415"/>
    <s v="CUST-0215"/>
    <s v="Customer 215"/>
    <x v="2"/>
    <s v="Mandalay"/>
    <s v="Office Supplies"/>
    <x v="1"/>
    <x v="6"/>
    <n v="29600"/>
    <n v="0"/>
    <x v="805"/>
    <n v="-60000"/>
    <n v="-58400"/>
    <s v="Cash"/>
    <s v="Aung Aung"/>
    <s v="Returned"/>
  </r>
  <r>
    <s v="ORD-00562"/>
    <x v="415"/>
    <s v="CUST-0100"/>
    <s v="Customer 100"/>
    <x v="2"/>
    <s v="Chanmyathazi"/>
    <s v="Office Supplies"/>
    <x v="4"/>
    <x v="0"/>
    <n v="389200"/>
    <n v="0.05"/>
    <x v="806"/>
    <n v="1400000"/>
    <n v="448700"/>
    <s v="Credit Card"/>
    <s v="Htet Htet"/>
    <s v="Completed"/>
  </r>
  <r>
    <s v="ORD-00335"/>
    <x v="415"/>
    <s v="CUST-0202"/>
    <s v="Customer 202"/>
    <x v="0"/>
    <s v="Mayangone"/>
    <s v="Electronics"/>
    <x v="8"/>
    <x v="2"/>
    <n v="637900"/>
    <n v="0.05"/>
    <x v="807"/>
    <n v="2820000"/>
    <n v="816030"/>
    <s v="Wave Money"/>
    <s v="Kyaw Kyaw"/>
    <s v="Completed"/>
  </r>
  <r>
    <s v="ORD-00293"/>
    <x v="416"/>
    <s v="CUST-0181"/>
    <s v="Customer 181"/>
    <x v="0"/>
    <s v="Mayangone"/>
    <s v="Office Supplies"/>
    <x v="4"/>
    <x v="1"/>
    <n v="401100"/>
    <n v="0.02"/>
    <x v="808"/>
    <n v="560000"/>
    <n v="226156"/>
    <s v="Bank Transfer"/>
    <s v="Nandar"/>
    <s v="Completed"/>
  </r>
  <r>
    <s v="ORD-00381"/>
    <x v="417"/>
    <s v="CUST-0040"/>
    <s v="Customer 040"/>
    <x v="1"/>
    <s v="Naypyidaw"/>
    <s v="Accessories"/>
    <x v="14"/>
    <x v="5"/>
    <n v="75500"/>
    <n v="0.1"/>
    <x v="8"/>
    <n v="0"/>
    <n v="0"/>
    <s v="Cash"/>
    <s v="Htet Htet"/>
    <s v="Cancelled"/>
  </r>
  <r>
    <s v="ORD-00471"/>
    <x v="417"/>
    <s v="CUST-0160"/>
    <s v="Customer 160"/>
    <x v="4"/>
    <s v="Muse"/>
    <s v="Office Supplies"/>
    <x v="13"/>
    <x v="4"/>
    <n v="41400"/>
    <n v="0.08"/>
    <x v="809"/>
    <n v="78000"/>
    <n v="36264"/>
    <s v="Wave Money"/>
    <s v="May Zin"/>
    <s v="Completed"/>
  </r>
  <r>
    <s v="ORD-00568"/>
    <x v="417"/>
    <s v="CUST-0040"/>
    <s v="Customer 040"/>
    <x v="0"/>
    <s v="Yangon"/>
    <s v="Electronics"/>
    <x v="5"/>
    <x v="3"/>
    <n v="102600"/>
    <n v="0"/>
    <x v="810"/>
    <n v="55000"/>
    <n v="47600"/>
    <s v="Cash"/>
    <s v="Min Min"/>
    <s v="Completed"/>
  </r>
  <r>
    <s v="ORD-00424"/>
    <x v="417"/>
    <s v="CUST-0188"/>
    <s v="Customer 188"/>
    <x v="3"/>
    <s v="Pyay"/>
    <s v="Office Supplies"/>
    <x v="13"/>
    <x v="3"/>
    <n v="47100"/>
    <n v="0.02"/>
    <x v="811"/>
    <n v="26000"/>
    <n v="20158"/>
    <s v="Credit Card"/>
    <s v="Thiri"/>
    <s v="Completed"/>
  </r>
  <r>
    <s v="ORD-00966"/>
    <x v="418"/>
    <s v="CUST-0022"/>
    <s v="Customer 022"/>
    <x v="3"/>
    <s v="Taungoo"/>
    <s v="Furniture"/>
    <x v="9"/>
    <x v="3"/>
    <n v="185800"/>
    <n v="0.05"/>
    <x v="8"/>
    <n v="0"/>
    <n v="0"/>
    <s v="Bank Transfer"/>
    <s v="Su Su"/>
    <s v="Cancelled"/>
  </r>
  <r>
    <s v="ORD-00052"/>
    <x v="419"/>
    <s v="CUST-0203"/>
    <s v="Customer 203"/>
    <x v="0"/>
    <s v="Tamwe"/>
    <s v="Office Supplies"/>
    <x v="13"/>
    <x v="5"/>
    <n v="44700"/>
    <n v="0.05"/>
    <x v="812"/>
    <n v="182000"/>
    <n v="115255"/>
    <s v="Cash"/>
    <s v="Htet Htet"/>
    <s v="Completed"/>
  </r>
  <r>
    <s v="ORD-00913"/>
    <x v="420"/>
    <s v="CUST-0061"/>
    <s v="Customer 061"/>
    <x v="1"/>
    <s v="Naypyidaw"/>
    <s v="Accessories"/>
    <x v="7"/>
    <x v="4"/>
    <n v="32300"/>
    <n v="0.08"/>
    <x v="813"/>
    <n v="54000"/>
    <n v="35148"/>
    <s v="Credit Card"/>
    <s v="Kyaw Kyaw"/>
    <s v="Completed"/>
  </r>
  <r>
    <s v="ORD-00282"/>
    <x v="420"/>
    <s v="CUST-0099"/>
    <s v="Customer 099"/>
    <x v="2"/>
    <s v="Chanmyathazi"/>
    <s v="Office Supplies"/>
    <x v="13"/>
    <x v="3"/>
    <n v="44000"/>
    <n v="0.15"/>
    <x v="814"/>
    <n v="26000"/>
    <n v="11400"/>
    <s v="Cash"/>
    <s v="May Zin"/>
    <s v="Completed"/>
  </r>
  <r>
    <s v="ORD-00511"/>
    <x v="421"/>
    <s v="CUST-0017"/>
    <s v="Customer 017"/>
    <x v="4"/>
    <s v="Lashio"/>
    <s v="Office Supplies"/>
    <x v="4"/>
    <x v="1"/>
    <n v="356100"/>
    <n v="0.15"/>
    <x v="815"/>
    <n v="560000"/>
    <n v="45370"/>
    <s v="KBZ Pay"/>
    <s v="Kyaw Kyaw"/>
    <s v="Completed"/>
  </r>
  <r>
    <s v="ORD-00613"/>
    <x v="421"/>
    <s v="CUST-0159"/>
    <s v="Customer 159"/>
    <x v="0"/>
    <s v="Mayangone"/>
    <s v="Furniture"/>
    <x v="2"/>
    <x v="5"/>
    <n v="500500"/>
    <n v="0"/>
    <x v="816"/>
    <n v="2555000"/>
    <n v="948500"/>
    <s v="Credit Card"/>
    <s v="Min Min"/>
    <s v="Completed"/>
  </r>
  <r>
    <s v="ORD-00341"/>
    <x v="422"/>
    <s v="CUST-0036"/>
    <s v="Customer 036"/>
    <x v="0"/>
    <s v="Yangon"/>
    <s v="Office Supplies"/>
    <x v="11"/>
    <x v="3"/>
    <n v="252600"/>
    <n v="0"/>
    <x v="817"/>
    <n v="165000"/>
    <n v="87600"/>
    <s v="Bank Transfer"/>
    <s v="Kyaw Kyaw"/>
    <s v="Completed"/>
  </r>
  <r>
    <s v="ORD-00944"/>
    <x v="423"/>
    <s v="CUST-0128"/>
    <s v="Customer 128"/>
    <x v="4"/>
    <s v="Muse"/>
    <s v="Accessories"/>
    <x v="12"/>
    <x v="4"/>
    <n v="83400"/>
    <n v="0.05"/>
    <x v="818"/>
    <n v="156000"/>
    <n v="81690"/>
    <s v="Bank Transfer"/>
    <s v="Min Min"/>
    <s v="Completed"/>
  </r>
  <r>
    <s v="ORD-00070"/>
    <x v="424"/>
    <s v="CUST-0111"/>
    <s v="Customer 111"/>
    <x v="4"/>
    <s v="Taunggyi"/>
    <s v="Furniture"/>
    <x v="2"/>
    <x v="3"/>
    <n v="519900"/>
    <n v="0"/>
    <x v="819"/>
    <n v="365000"/>
    <n v="154900"/>
    <s v="KBZ Pay"/>
    <s v="Nandar"/>
    <s v="Completed"/>
  </r>
  <r>
    <s v="ORD-00229"/>
    <x v="424"/>
    <s v="CUST-0009"/>
    <s v="Customer 009"/>
    <x v="0"/>
    <s v="Mayangone"/>
    <s v="Furniture"/>
    <x v="9"/>
    <x v="1"/>
    <n v="167900"/>
    <n v="0.08"/>
    <x v="820"/>
    <n v="230000"/>
    <n v="78936"/>
    <s v="Bank Transfer"/>
    <s v="Htet Htet"/>
    <s v="Completed"/>
  </r>
  <r>
    <s v="ORD-00522"/>
    <x v="424"/>
    <s v="CUST-0057"/>
    <s v="Customer 057"/>
    <x v="2"/>
    <s v="Chanmyathazi"/>
    <s v="Electronics"/>
    <x v="3"/>
    <x v="0"/>
    <n v="1259100"/>
    <n v="0"/>
    <x v="821"/>
    <n v="4750000"/>
    <n v="1545500"/>
    <s v="Bank Transfer"/>
    <s v="Su Su"/>
    <s v="Completed"/>
  </r>
  <r>
    <s v="ORD-00473"/>
    <x v="424"/>
    <s v="CUST-0114"/>
    <s v="Customer 114"/>
    <x v="0"/>
    <s v="Hlaing"/>
    <s v="Furniture"/>
    <x v="9"/>
    <x v="1"/>
    <n v="181400"/>
    <n v="0.05"/>
    <x v="822"/>
    <n v="-230000"/>
    <n v="-114660"/>
    <s v="Bank Transfer"/>
    <s v="May Zin"/>
    <s v="Returned"/>
  </r>
  <r>
    <s v="ORD-00183"/>
    <x v="424"/>
    <s v="CUST-0191"/>
    <s v="Customer 191"/>
    <x v="0"/>
    <s v="Yangon"/>
    <s v="Office Supplies"/>
    <x v="11"/>
    <x v="6"/>
    <n v="232800"/>
    <n v="0.05"/>
    <x v="823"/>
    <n v="660000"/>
    <n v="224640"/>
    <s v="Credit Card"/>
    <s v="Kyaw Kyaw"/>
    <s v="Completed"/>
  </r>
  <r>
    <s v="ORD-00526"/>
    <x v="425"/>
    <s v="CUST-0017"/>
    <s v="Customer 017"/>
    <x v="2"/>
    <s v="Amarapura"/>
    <s v="Electronics"/>
    <x v="3"/>
    <x v="1"/>
    <n v="1315900"/>
    <n v="0"/>
    <x v="824"/>
    <n v="-1900000"/>
    <n v="-731800"/>
    <s v="Wave Money"/>
    <s v="Htet Htet"/>
    <s v="Returned"/>
  </r>
  <r>
    <s v="ORD-00157"/>
    <x v="425"/>
    <s v="CUST-0048"/>
    <s v="Customer 048"/>
    <x v="3"/>
    <s v="Bago"/>
    <s v="Electronics"/>
    <x v="5"/>
    <x v="3"/>
    <n v="97900"/>
    <n v="0.08"/>
    <x v="825"/>
    <n v="55000"/>
    <n v="35068"/>
    <s v="Bank Transfer"/>
    <s v="Thiri"/>
    <s v="Completed"/>
  </r>
  <r>
    <s v="ORD-00373"/>
    <x v="425"/>
    <s v="CUST-0183"/>
    <s v="Customer 183"/>
    <x v="1"/>
    <s v="Pyinmana"/>
    <s v="Electronics"/>
    <x v="5"/>
    <x v="0"/>
    <n v="93800"/>
    <n v="0"/>
    <x v="826"/>
    <n v="275000"/>
    <n v="194000"/>
    <s v="Credit Card"/>
    <s v="Nandar"/>
    <s v="Completed"/>
  </r>
  <r>
    <s v="ORD-00784"/>
    <x v="426"/>
    <s v="CUST-0227"/>
    <s v="Customer 227"/>
    <x v="1"/>
    <s v="Naypyidaw"/>
    <s v="Furniture"/>
    <x v="2"/>
    <x v="6"/>
    <n v="526100"/>
    <n v="0"/>
    <x v="827"/>
    <n v="-1460000"/>
    <n v="-644400"/>
    <s v="Bank Transfer"/>
    <s v="Thiri"/>
    <s v="Returned"/>
  </r>
  <r>
    <s v="ORD-00903"/>
    <x v="427"/>
    <s v="CUST-0105"/>
    <s v="Customer 105"/>
    <x v="0"/>
    <s v="Tamwe"/>
    <s v="Electronics"/>
    <x v="0"/>
    <x v="4"/>
    <n v="431400"/>
    <n v="0"/>
    <x v="828"/>
    <n v="900000"/>
    <n v="394200"/>
    <s v="Bank Transfer"/>
    <s v="Htet Htet"/>
    <s v="Completed"/>
  </r>
  <r>
    <s v="ORD-00054"/>
    <x v="427"/>
    <s v="CUST-0220"/>
    <s v="Customer 220"/>
    <x v="0"/>
    <s v="Yangon"/>
    <s v="Electronics"/>
    <x v="0"/>
    <x v="2"/>
    <n v="388600"/>
    <n v="0.02"/>
    <x v="829"/>
    <n v="1800000"/>
    <n v="484968"/>
    <s v="Bank Transfer"/>
    <s v="Nandar"/>
    <s v="Completed"/>
  </r>
  <r>
    <s v="ORD-00608"/>
    <x v="427"/>
    <s v="CUST-0193"/>
    <s v="Customer 193"/>
    <x v="0"/>
    <s v="Mayangone"/>
    <s v="Electronics"/>
    <x v="3"/>
    <x v="4"/>
    <n v="1196600"/>
    <n v="0"/>
    <x v="830"/>
    <n v="2850000"/>
    <n v="739800"/>
    <s v="Wave Money"/>
    <s v="May Zin"/>
    <s v="Completed"/>
  </r>
  <r>
    <s v="ORD-00928"/>
    <x v="428"/>
    <s v="CUST-0135"/>
    <s v="Customer 135"/>
    <x v="0"/>
    <s v="Tamwe"/>
    <s v="Electronics"/>
    <x v="0"/>
    <x v="6"/>
    <n v="401300"/>
    <n v="0.05"/>
    <x v="831"/>
    <n v="1200000"/>
    <n v="324940"/>
    <s v="Wave Money"/>
    <s v="May Zin"/>
    <s v="Completed"/>
  </r>
  <r>
    <s v="ORD-00929"/>
    <x v="429"/>
    <s v="CUST-0182"/>
    <s v="Customer 182"/>
    <x v="0"/>
    <s v="Mayangone"/>
    <s v="Electronics"/>
    <x v="0"/>
    <x v="0"/>
    <n v="447200"/>
    <n v="0.15"/>
    <x v="8"/>
    <n v="0"/>
    <n v="0"/>
    <s v="Cash"/>
    <s v="Su Su"/>
    <s v="Cancelled"/>
  </r>
  <r>
    <s v="ORD-00386"/>
    <x v="430"/>
    <s v="CUST-0089"/>
    <s v="Customer 089"/>
    <x v="3"/>
    <s v="Pyay"/>
    <s v="Accessories"/>
    <x v="10"/>
    <x v="3"/>
    <n v="93300"/>
    <n v="0.05"/>
    <x v="832"/>
    <n v="58000"/>
    <n v="30635"/>
    <s v="Credit Card"/>
    <s v="May Zin"/>
    <s v="Completed"/>
  </r>
  <r>
    <s v="ORD-00675"/>
    <x v="431"/>
    <s v="CUST-0113"/>
    <s v="Customer 113"/>
    <x v="2"/>
    <s v="Chanmyathazi"/>
    <s v="Office Supplies"/>
    <x v="1"/>
    <x v="2"/>
    <n v="28800"/>
    <n v="0.02"/>
    <x v="833"/>
    <n v="90000"/>
    <n v="79344"/>
    <s v="Credit Card"/>
    <s v="Thiri"/>
    <s v="Completed"/>
  </r>
  <r>
    <s v="ORD-00956"/>
    <x v="431"/>
    <s v="CUST-0028"/>
    <s v="Customer 028"/>
    <x v="1"/>
    <s v="Naypyidaw"/>
    <s v="Accessories"/>
    <x v="12"/>
    <x v="5"/>
    <n v="82300"/>
    <n v="0.1"/>
    <x v="834"/>
    <n v="364000"/>
    <n v="154490"/>
    <s v="Bank Transfer"/>
    <s v="Su Su"/>
    <s v="Completed"/>
  </r>
  <r>
    <s v="ORD-00845"/>
    <x v="432"/>
    <s v="CUST-0055"/>
    <s v="Customer 055"/>
    <x v="3"/>
    <s v="Bago"/>
    <s v="Accessories"/>
    <x v="10"/>
    <x v="5"/>
    <n v="88800"/>
    <n v="0.05"/>
    <x v="835"/>
    <n v="406000"/>
    <n v="184520"/>
    <s v="Wave Money"/>
    <s v="May Zin"/>
    <s v="Completed"/>
  </r>
  <r>
    <s v="ORD-00236"/>
    <x v="432"/>
    <s v="CUST-0083"/>
    <s v="Customer 083"/>
    <x v="2"/>
    <s v="Chanmyathazi"/>
    <s v="Electronics"/>
    <x v="5"/>
    <x v="3"/>
    <n v="88000"/>
    <n v="0.08"/>
    <x v="836"/>
    <n v="-55000"/>
    <n v="-25960"/>
    <s v="Cash"/>
    <s v="Kyaw Kyaw"/>
    <s v="Returned"/>
  </r>
  <r>
    <s v="ORD-00097"/>
    <x v="433"/>
    <s v="CUST-0020"/>
    <s v="Customer 020"/>
    <x v="1"/>
    <s v="Zabuthiri"/>
    <s v="Accessories"/>
    <x v="14"/>
    <x v="0"/>
    <n v="73100"/>
    <n v="0.02"/>
    <x v="837"/>
    <n v="215000"/>
    <n v="143190"/>
    <s v="Credit Card"/>
    <s v="Thiri"/>
    <s v="Completed"/>
  </r>
  <r>
    <s v="ORD-00989"/>
    <x v="434"/>
    <s v="CUST-0212"/>
    <s v="Customer 212"/>
    <x v="0"/>
    <s v="Yangon"/>
    <s v="Furniture"/>
    <x v="2"/>
    <x v="5"/>
    <n v="551300"/>
    <n v="0"/>
    <x v="838"/>
    <n v="2555000"/>
    <n v="1304100"/>
    <s v="KBZ Pay"/>
    <s v="Kyaw Kyaw"/>
    <s v="Completed"/>
  </r>
  <r>
    <s v="ORD-00338"/>
    <x v="434"/>
    <s v="CUST-0107"/>
    <s v="Customer 107"/>
    <x v="3"/>
    <s v="Taungoo"/>
    <s v="Furniture"/>
    <x v="9"/>
    <x v="4"/>
    <n v="182800"/>
    <n v="0"/>
    <x v="839"/>
    <n v="345000"/>
    <n v="203400"/>
    <s v="Bank Transfer"/>
    <s v="Kyaw Kyaw"/>
    <s v="Completed"/>
  </r>
  <r>
    <s v="ORD-00337"/>
    <x v="434"/>
    <s v="CUST-0114"/>
    <s v="Customer 114"/>
    <x v="1"/>
    <s v="Pyinmana"/>
    <s v="Office Supplies"/>
    <x v="4"/>
    <x v="1"/>
    <n v="364700"/>
    <n v="0.08"/>
    <x v="840"/>
    <n v="560000"/>
    <n v="111048"/>
    <s v="Credit Card"/>
    <s v="Htet Htet"/>
    <s v="Completed"/>
  </r>
  <r>
    <s v="ORD-00144"/>
    <x v="434"/>
    <s v="CUST-0135"/>
    <s v="Customer 135"/>
    <x v="4"/>
    <s v="Taunggyi"/>
    <s v="Office Supplies"/>
    <x v="11"/>
    <x v="1"/>
    <n v="236300"/>
    <n v="0.02"/>
    <x v="841"/>
    <n v="330000"/>
    <n v="133148"/>
    <s v="Cash"/>
    <s v="Htet Htet"/>
    <s v="Completed"/>
  </r>
  <r>
    <s v="ORD-00430"/>
    <x v="435"/>
    <s v="CUST-0165"/>
    <s v="Customer 165"/>
    <x v="0"/>
    <s v="Tamwe"/>
    <s v="Furniture"/>
    <x v="6"/>
    <x v="6"/>
    <n v="290400"/>
    <n v="0"/>
    <x v="842"/>
    <n v="840000"/>
    <n v="321600"/>
    <s v="Wave Money"/>
    <s v="Kyaw Kyaw"/>
    <s v="Completed"/>
  </r>
  <r>
    <s v="ORD-00082"/>
    <x v="435"/>
    <s v="CUST-0074"/>
    <s v="Customer 074"/>
    <x v="1"/>
    <s v="Naypyidaw"/>
    <s v="Electronics"/>
    <x v="0"/>
    <x v="3"/>
    <n v="388700"/>
    <n v="0.05"/>
    <x v="843"/>
    <n v="300000"/>
    <n v="69265"/>
    <s v="Wave Money"/>
    <s v="Aung Aung"/>
    <s v="Completed"/>
  </r>
  <r>
    <s v="ORD-00077"/>
    <x v="435"/>
    <s v="CUST-0137"/>
    <s v="Customer 137"/>
    <x v="2"/>
    <s v="Amarapura"/>
    <s v="Electronics"/>
    <x v="3"/>
    <x v="2"/>
    <n v="1299200"/>
    <n v="0.05"/>
    <x v="844"/>
    <n v="-5700000"/>
    <n v="-1705440"/>
    <s v="Wave Money"/>
    <s v="Su Su"/>
    <s v="Returned"/>
  </r>
  <r>
    <s v="ORD-00364"/>
    <x v="435"/>
    <s v="CUST-0163"/>
    <s v="Customer 163"/>
    <x v="0"/>
    <s v="Mayangone"/>
    <s v="Accessories"/>
    <x v="7"/>
    <x v="5"/>
    <n v="33500"/>
    <n v="0.08"/>
    <x v="845"/>
    <n v="126000"/>
    <n v="89740"/>
    <s v="Wave Money"/>
    <s v="May Zin"/>
    <s v="Completed"/>
  </r>
  <r>
    <s v="ORD-00572"/>
    <x v="436"/>
    <s v="CUST-0051"/>
    <s v="Customer 051"/>
    <x v="2"/>
    <s v="Mandalay"/>
    <s v="Electronics"/>
    <x v="3"/>
    <x v="0"/>
    <n v="1161500"/>
    <n v="0.1"/>
    <x v="846"/>
    <n v="4750000"/>
    <n v="476750"/>
    <s v="Credit Card"/>
    <s v="Nandar"/>
    <s v="Completed"/>
  </r>
  <r>
    <s v="ORD-00450"/>
    <x v="436"/>
    <s v="CUST-0019"/>
    <s v="Customer 019"/>
    <x v="4"/>
    <s v="Muse"/>
    <s v="Office Supplies"/>
    <x v="13"/>
    <x v="4"/>
    <n v="46000"/>
    <n v="0.08"/>
    <x v="847"/>
    <n v="78000"/>
    <n v="48960"/>
    <s v="Wave Money"/>
    <s v="Nandar"/>
    <s v="Completed"/>
  </r>
  <r>
    <s v="ORD-00644"/>
    <x v="436"/>
    <s v="CUST-0188"/>
    <s v="Customer 188"/>
    <x v="4"/>
    <s v="Lashio"/>
    <s v="Electronics"/>
    <x v="0"/>
    <x v="6"/>
    <n v="395100"/>
    <n v="0.08"/>
    <x v="848"/>
    <n v="1200000"/>
    <n v="253968"/>
    <s v="Bank Transfer"/>
    <s v="Min Min"/>
    <s v="Completed"/>
  </r>
  <r>
    <s v="ORD-00186"/>
    <x v="437"/>
    <s v="CUST-0116"/>
    <s v="Customer 116"/>
    <x v="3"/>
    <s v="Pyay"/>
    <s v="Electronics"/>
    <x v="3"/>
    <x v="6"/>
    <n v="1281100"/>
    <n v="0.1"/>
    <x v="849"/>
    <n v="3800000"/>
    <n v="811960"/>
    <s v="Bank Transfer"/>
    <s v="May Zin"/>
    <s v="Completed"/>
  </r>
  <r>
    <s v="ORD-00953"/>
    <x v="438"/>
    <s v="CUST-0061"/>
    <s v="Customer 061"/>
    <x v="0"/>
    <s v="Hlaing"/>
    <s v="Furniture"/>
    <x v="9"/>
    <x v="2"/>
    <n v="171800"/>
    <n v="0"/>
    <x v="850"/>
    <n v="690000"/>
    <n v="340800"/>
    <s v="Cash"/>
    <s v="Nandar"/>
    <s v="Completed"/>
  </r>
  <r>
    <s v="ORD-00466"/>
    <x v="439"/>
    <s v="CUST-0010"/>
    <s v="Customer 010"/>
    <x v="0"/>
    <s v="Tamwe"/>
    <s v="Electronics"/>
    <x v="0"/>
    <x v="1"/>
    <n v="391800"/>
    <n v="0.05"/>
    <x v="851"/>
    <n v="600000"/>
    <n v="144420"/>
    <s v="Wave Money"/>
    <s v="Htet Htet"/>
    <s v="Completed"/>
  </r>
  <r>
    <s v="ORD-00261"/>
    <x v="439"/>
    <s v="CUST-0243"/>
    <s v="Customer 243"/>
    <x v="3"/>
    <s v="Bago"/>
    <s v="Electronics"/>
    <x v="3"/>
    <x v="0"/>
    <n v="1218500"/>
    <n v="0.02"/>
    <x v="8"/>
    <n v="0"/>
    <n v="0"/>
    <s v="Credit Card"/>
    <s v="Aung Aung"/>
    <s v="Cancelled"/>
  </r>
  <r>
    <s v="ORD-00321"/>
    <x v="440"/>
    <s v="CUST-0114"/>
    <s v="Customer 114"/>
    <x v="3"/>
    <s v="Pyay"/>
    <s v="Electronics"/>
    <x v="0"/>
    <x v="1"/>
    <n v="445000"/>
    <n v="0.08"/>
    <x v="852"/>
    <n v="600000"/>
    <n v="218800"/>
    <s v="Wave Money"/>
    <s v="Nandar"/>
    <s v="Completed"/>
  </r>
  <r>
    <s v="ORD-00426"/>
    <x v="440"/>
    <s v="CUST-0175"/>
    <s v="Customer 175"/>
    <x v="3"/>
    <s v="Bago"/>
    <s v="Electronics"/>
    <x v="5"/>
    <x v="0"/>
    <n v="88700"/>
    <n v="0"/>
    <x v="853"/>
    <n v="275000"/>
    <n v="168500"/>
    <s v="Bank Transfer"/>
    <s v="Htet Htet"/>
    <s v="Completed"/>
  </r>
  <r>
    <s v="ORD-00412"/>
    <x v="441"/>
    <s v="CUST-0160"/>
    <s v="Customer 160"/>
    <x v="0"/>
    <s v="Tamwe"/>
    <s v="Furniture"/>
    <x v="2"/>
    <x v="6"/>
    <n v="536100"/>
    <n v="0.05"/>
    <x v="854"/>
    <n v="1460000"/>
    <n v="577180"/>
    <s v="Wave Money"/>
    <s v="Su Su"/>
    <s v="Completed"/>
  </r>
  <r>
    <s v="ORD-00718"/>
    <x v="442"/>
    <s v="CUST-0016"/>
    <s v="Customer 016"/>
    <x v="0"/>
    <s v="Yangon"/>
    <s v="Office Supplies"/>
    <x v="13"/>
    <x v="6"/>
    <n v="42300"/>
    <n v="0"/>
    <x v="248"/>
    <n v="104000"/>
    <n v="65200"/>
    <s v="Bank Transfer"/>
    <s v="Aung Aung"/>
    <s v="Completed"/>
  </r>
  <r>
    <s v="ORD-00135"/>
    <x v="443"/>
    <s v="CUST-0188"/>
    <s v="Customer 188"/>
    <x v="2"/>
    <s v="Amarapura"/>
    <s v="Electronics"/>
    <x v="3"/>
    <x v="2"/>
    <n v="1287100"/>
    <n v="0.05"/>
    <x v="855"/>
    <n v="5700000"/>
    <n v="1636470"/>
    <s v="Cash"/>
    <s v="May Zin"/>
    <s v="Completed"/>
  </r>
  <r>
    <s v="ORD-00265"/>
    <x v="443"/>
    <s v="CUST-0228"/>
    <s v="Customer 228"/>
    <x v="0"/>
    <s v="Hlaing"/>
    <s v="Electronics"/>
    <x v="0"/>
    <x v="1"/>
    <n v="452300"/>
    <n v="0.05"/>
    <x v="856"/>
    <n v="-600000"/>
    <n v="-259370"/>
    <s v="KBZ Pay"/>
    <s v="Kyaw Kyaw"/>
    <s v="Returned"/>
  </r>
  <r>
    <s v="ORD-00532"/>
    <x v="443"/>
    <s v="CUST-0022"/>
    <s v="Customer 022"/>
    <x v="2"/>
    <s v="Amarapura"/>
    <s v="Accessories"/>
    <x v="12"/>
    <x v="4"/>
    <n v="82800"/>
    <n v="0.05"/>
    <x v="857"/>
    <n v="156000"/>
    <n v="79980"/>
    <s v="Credit Card"/>
    <s v="Su Su"/>
    <s v="Completed"/>
  </r>
  <r>
    <s v="ORD-00630"/>
    <x v="443"/>
    <s v="CUST-0186"/>
    <s v="Customer 186"/>
    <x v="4"/>
    <s v="Lashio"/>
    <s v="Furniture"/>
    <x v="2"/>
    <x v="3"/>
    <n v="519400"/>
    <n v="0"/>
    <x v="858"/>
    <n v="365000"/>
    <n v="154400"/>
    <s v="Bank Transfer"/>
    <s v="Kyaw Kyaw"/>
    <s v="Completed"/>
  </r>
  <r>
    <s v="ORD-00785"/>
    <x v="443"/>
    <s v="CUST-0237"/>
    <s v="Customer 237"/>
    <x v="4"/>
    <s v="Muse"/>
    <s v="Accessories"/>
    <x v="10"/>
    <x v="5"/>
    <n v="96600"/>
    <n v="0"/>
    <x v="859"/>
    <n v="406000"/>
    <n v="270200"/>
    <s v="Cash"/>
    <s v="Min Min"/>
    <s v="Completed"/>
  </r>
  <r>
    <s v="ORD-00309"/>
    <x v="443"/>
    <s v="CUST-0040"/>
    <s v="Customer 040"/>
    <x v="0"/>
    <s v="Yangon"/>
    <s v="Office Supplies"/>
    <x v="13"/>
    <x v="5"/>
    <n v="47700"/>
    <n v="0.05"/>
    <x v="860"/>
    <n v="182000"/>
    <n v="135205"/>
    <s v="Wave Money"/>
    <s v="May Zin"/>
    <s v="Completed"/>
  </r>
  <r>
    <s v="ORD-00055"/>
    <x v="443"/>
    <s v="CUST-0109"/>
    <s v="Customer 109"/>
    <x v="0"/>
    <s v="Hlaing"/>
    <s v="Accessories"/>
    <x v="10"/>
    <x v="0"/>
    <n v="91600"/>
    <n v="0.05"/>
    <x v="861"/>
    <n v="-290000"/>
    <n v="-145100"/>
    <s v="KBZ Pay"/>
    <s v="Thiri"/>
    <s v="Returned"/>
  </r>
  <r>
    <s v="ORD-00979"/>
    <x v="444"/>
    <s v="CUST-0188"/>
    <s v="Customer 188"/>
    <x v="2"/>
    <s v="Mandalay"/>
    <s v="Electronics"/>
    <x v="8"/>
    <x v="3"/>
    <n v="609300"/>
    <n v="0.15"/>
    <x v="862"/>
    <n v="470000"/>
    <n v="47905"/>
    <s v="Cash"/>
    <s v="Min Min"/>
    <s v="Completed"/>
  </r>
  <r>
    <s v="ORD-00894"/>
    <x v="444"/>
    <s v="CUST-0012"/>
    <s v="Customer 012"/>
    <x v="1"/>
    <s v="Pyinmana"/>
    <s v="Electronics"/>
    <x v="3"/>
    <x v="2"/>
    <n v="1342500"/>
    <n v="0.1"/>
    <x v="863"/>
    <n v="5700000"/>
    <n v="1549500"/>
    <s v="Cash"/>
    <s v="Nandar"/>
    <s v="Completed"/>
  </r>
  <r>
    <s v="ORD-00729"/>
    <x v="445"/>
    <s v="CUST-0202"/>
    <s v="Customer 202"/>
    <x v="2"/>
    <s v="Mandalay"/>
    <s v="Electronics"/>
    <x v="5"/>
    <x v="2"/>
    <n v="101600"/>
    <n v="0.05"/>
    <x v="864"/>
    <n v="330000"/>
    <n v="249120"/>
    <s v="Credit Card"/>
    <s v="Su Su"/>
    <s v="Completed"/>
  </r>
  <r>
    <s v="ORD-00330"/>
    <x v="445"/>
    <s v="CUST-0007"/>
    <s v="Customer 007"/>
    <x v="0"/>
    <s v="Mayangone"/>
    <s v="Office Supplies"/>
    <x v="13"/>
    <x v="2"/>
    <n v="46300"/>
    <n v="0.05"/>
    <x v="865"/>
    <n v="156000"/>
    <n v="107910"/>
    <s v="Credit Card"/>
    <s v="Aung Aung"/>
    <s v="Completed"/>
  </r>
  <r>
    <s v="ORD-00173"/>
    <x v="446"/>
    <s v="CUST-0125"/>
    <s v="Customer 125"/>
    <x v="3"/>
    <s v="Bago"/>
    <s v="Electronics"/>
    <x v="5"/>
    <x v="0"/>
    <n v="91500"/>
    <n v="0.05"/>
    <x v="866"/>
    <n v="275000"/>
    <n v="159625"/>
    <s v="Credit Card"/>
    <s v="Su Su"/>
    <s v="Completed"/>
  </r>
  <r>
    <s v="ORD-00196"/>
    <x v="446"/>
    <s v="CUST-0164"/>
    <s v="Customer 164"/>
    <x v="0"/>
    <s v="Mayangone"/>
    <s v="Furniture"/>
    <x v="6"/>
    <x v="3"/>
    <n v="311500"/>
    <n v="0"/>
    <x v="8"/>
    <n v="0"/>
    <n v="0"/>
    <s v="Bank Transfer"/>
    <s v="Htet Htet"/>
    <s v="Cancelled"/>
  </r>
  <r>
    <s v="ORD-00003"/>
    <x v="446"/>
    <s v="CUST-0108"/>
    <s v="Customer 108"/>
    <x v="2"/>
    <s v="Chanmyathazi"/>
    <s v="Electronics"/>
    <x v="5"/>
    <x v="6"/>
    <n v="93000"/>
    <n v="0.05"/>
    <x v="867"/>
    <n v="220000"/>
    <n v="133400"/>
    <s v="Wave Money"/>
    <s v="May Zin"/>
    <s v="Completed"/>
  </r>
  <r>
    <s v="ORD-00316"/>
    <x v="447"/>
    <s v="CUST-0167"/>
    <s v="Customer 167"/>
    <x v="0"/>
    <s v="Yangon"/>
    <s v="Office Supplies"/>
    <x v="13"/>
    <x v="5"/>
    <n v="46500"/>
    <n v="0.05"/>
    <x v="868"/>
    <n v="-182000"/>
    <n v="-127225"/>
    <s v="KBZ Pay"/>
    <s v="Thiri"/>
    <s v="Returned"/>
  </r>
  <r>
    <s v="ORD-00452"/>
    <x v="447"/>
    <s v="CUST-0075"/>
    <s v="Customer 075"/>
    <x v="4"/>
    <s v="Lashio"/>
    <s v="Furniture"/>
    <x v="6"/>
    <x v="0"/>
    <n v="323200"/>
    <n v="0.08"/>
    <x v="869"/>
    <n v="1050000"/>
    <n v="436720"/>
    <s v="Credit Card"/>
    <s v="Nandar"/>
    <s v="Completed"/>
  </r>
  <r>
    <s v="ORD-00212"/>
    <x v="447"/>
    <s v="CUST-0074"/>
    <s v="Customer 074"/>
    <x v="4"/>
    <s v="Lashio"/>
    <s v="Accessories"/>
    <x v="12"/>
    <x v="4"/>
    <n v="83300"/>
    <n v="0.05"/>
    <x v="870"/>
    <n v="156000"/>
    <n v="81405"/>
    <s v="Bank Transfer"/>
    <s v="Nandar"/>
    <s v="Completed"/>
  </r>
  <r>
    <s v="ORD-00377"/>
    <x v="448"/>
    <s v="CUST-0094"/>
    <s v="Customer 094"/>
    <x v="2"/>
    <s v="Chanmyathazi"/>
    <s v="Accessories"/>
    <x v="7"/>
    <x v="6"/>
    <n v="30900"/>
    <n v="0.08"/>
    <x v="871"/>
    <n v="72000"/>
    <n v="41712"/>
    <s v="Bank Transfer"/>
    <s v="Nandar"/>
    <s v="Completed"/>
  </r>
  <r>
    <s v="ORD-00800"/>
    <x v="448"/>
    <s v="CUST-0087"/>
    <s v="Customer 087"/>
    <x v="1"/>
    <s v="Zabuthiri"/>
    <s v="Office Supplies"/>
    <x v="4"/>
    <x v="4"/>
    <n v="355400"/>
    <n v="0"/>
    <x v="872"/>
    <n v="840000"/>
    <n v="226200"/>
    <s v="Wave Money"/>
    <s v="Thiri"/>
    <s v="Completed"/>
  </r>
  <r>
    <s v="ORD-00883"/>
    <x v="449"/>
    <s v="CUST-0222"/>
    <s v="Customer 222"/>
    <x v="1"/>
    <s v="Pyinmana"/>
    <s v="Electronics"/>
    <x v="3"/>
    <x v="4"/>
    <n v="1332600"/>
    <n v="0.08"/>
    <x v="873"/>
    <n v="-2850000"/>
    <n v="-827976"/>
    <s v="Credit Card"/>
    <s v="Su Su"/>
    <s v="Returned"/>
  </r>
  <r>
    <s v="ORD-00269"/>
    <x v="449"/>
    <s v="CUST-0019"/>
    <s v="Customer 019"/>
    <x v="2"/>
    <s v="Amarapura"/>
    <s v="Office Supplies"/>
    <x v="11"/>
    <x v="1"/>
    <n v="233600"/>
    <n v="0.08"/>
    <x v="874"/>
    <n v="330000"/>
    <n v="99824"/>
    <s v="Wave Money"/>
    <s v="Su Su"/>
    <s v="Completed"/>
  </r>
  <r>
    <s v="ORD-00817"/>
    <x v="449"/>
    <s v="CUST-0049"/>
    <s v="Customer 049"/>
    <x v="4"/>
    <s v="Taunggyi"/>
    <s v="Electronics"/>
    <x v="8"/>
    <x v="5"/>
    <n v="625300"/>
    <n v="0"/>
    <x v="875"/>
    <n v="3290000"/>
    <n v="1087100"/>
    <s v="Credit Card"/>
    <s v="Aung Aung"/>
    <s v="Completed"/>
  </r>
  <r>
    <s v="ORD-00831"/>
    <x v="450"/>
    <s v="CUST-0163"/>
    <s v="Customer 163"/>
    <x v="3"/>
    <s v="Bago"/>
    <s v="Furniture"/>
    <x v="9"/>
    <x v="2"/>
    <n v="186000"/>
    <n v="0.02"/>
    <x v="876"/>
    <n v="690000"/>
    <n v="403680"/>
    <s v="KBZ Pay"/>
    <s v="May Zin"/>
    <s v="Completed"/>
  </r>
  <r>
    <s v="ORD-00976"/>
    <x v="450"/>
    <s v="CUST-0154"/>
    <s v="Customer 154"/>
    <x v="4"/>
    <s v="Taunggyi"/>
    <s v="Office Supplies"/>
    <x v="11"/>
    <x v="5"/>
    <n v="246900"/>
    <n v="0.02"/>
    <x v="877"/>
    <n v="1155000"/>
    <n v="538734"/>
    <s v="Wave Money"/>
    <s v="May Zin"/>
    <s v="Completed"/>
  </r>
  <r>
    <s v="ORD-00143"/>
    <x v="450"/>
    <s v="CUST-0211"/>
    <s v="Customer 211"/>
    <x v="2"/>
    <s v="Mandalay"/>
    <s v="Electronics"/>
    <x v="0"/>
    <x v="0"/>
    <n v="430700"/>
    <n v="0.05"/>
    <x v="878"/>
    <n v="1500000"/>
    <n v="545825"/>
    <s v="KBZ Pay"/>
    <s v="Kyaw Kyaw"/>
    <s v="Completed"/>
  </r>
  <r>
    <s v="ORD-00905"/>
    <x v="450"/>
    <s v="CUST-0182"/>
    <s v="Customer 182"/>
    <x v="4"/>
    <s v="Muse"/>
    <s v="Office Supplies"/>
    <x v="1"/>
    <x v="3"/>
    <n v="26700"/>
    <n v="0.08"/>
    <x v="879"/>
    <n v="15000"/>
    <n v="9564"/>
    <s v="Cash"/>
    <s v="May Zin"/>
    <s v="Completed"/>
  </r>
  <r>
    <s v="ORD-00123"/>
    <x v="451"/>
    <s v="CUST-0059"/>
    <s v="Customer 059"/>
    <x v="1"/>
    <s v="Pyinmana"/>
    <s v="Accessories"/>
    <x v="7"/>
    <x v="2"/>
    <n v="32100"/>
    <n v="0.1"/>
    <x v="880"/>
    <n v="108000"/>
    <n v="65340"/>
    <s v="Wave Money"/>
    <s v="Nandar"/>
    <s v="Completed"/>
  </r>
  <r>
    <s v="ORD-00394"/>
    <x v="451"/>
    <s v="CUST-0088"/>
    <s v="Customer 088"/>
    <x v="0"/>
    <s v="Hlaing"/>
    <s v="Electronics"/>
    <x v="3"/>
    <x v="4"/>
    <n v="1254900"/>
    <n v="0.08"/>
    <x v="881"/>
    <n v="2850000"/>
    <n v="613524"/>
    <s v="Wave Money"/>
    <s v="Aung Aung"/>
    <s v="Completed"/>
  </r>
  <r>
    <s v="ORD-00777"/>
    <x v="451"/>
    <s v="CUST-0175"/>
    <s v="Customer 175"/>
    <x v="0"/>
    <s v="Mayangone"/>
    <s v="Accessories"/>
    <x v="7"/>
    <x v="4"/>
    <n v="31100"/>
    <n v="0.08"/>
    <x v="882"/>
    <n v="54000"/>
    <n v="31836"/>
    <s v="Bank Transfer"/>
    <s v="Min Min"/>
    <s v="Completed"/>
  </r>
  <r>
    <s v="ORD-00673"/>
    <x v="452"/>
    <s v="CUST-0067"/>
    <s v="Customer 067"/>
    <x v="0"/>
    <s v="Yangon"/>
    <s v="Electronics"/>
    <x v="0"/>
    <x v="1"/>
    <n v="450400"/>
    <n v="0.02"/>
    <x v="883"/>
    <n v="-600000"/>
    <n v="-282784"/>
    <s v="Cash"/>
    <s v="Htet Htet"/>
    <s v="Returned"/>
  </r>
  <r>
    <s v="ORD-00939"/>
    <x v="453"/>
    <s v="CUST-0222"/>
    <s v="Customer 222"/>
    <x v="2"/>
    <s v="Chanmyathazi"/>
    <s v="Furniture"/>
    <x v="9"/>
    <x v="0"/>
    <n v="172200"/>
    <n v="0.08"/>
    <x v="884"/>
    <n v="575000"/>
    <n v="217120"/>
    <s v="KBZ Pay"/>
    <s v="Htet Htet"/>
    <s v="Completed"/>
  </r>
  <r>
    <s v="ORD-00300"/>
    <x v="453"/>
    <s v="CUST-0239"/>
    <s v="Customer 239"/>
    <x v="0"/>
    <s v="Yangon"/>
    <s v="Accessories"/>
    <x v="7"/>
    <x v="1"/>
    <n v="34400"/>
    <n v="0.02"/>
    <x v="885"/>
    <n v="36000"/>
    <n v="31424"/>
    <s v="Credit Card"/>
    <s v="Kyaw Kyaw"/>
    <s v="Completed"/>
  </r>
  <r>
    <s v="ORD-00247"/>
    <x v="453"/>
    <s v="CUST-0001"/>
    <s v="Customer 001"/>
    <x v="2"/>
    <s v="Mandalay"/>
    <s v="Electronics"/>
    <x v="5"/>
    <x v="4"/>
    <n v="88100"/>
    <n v="0.05"/>
    <x v="886"/>
    <n v="-165000"/>
    <n v="-86085"/>
    <s v="Bank Transfer"/>
    <s v="Nandar"/>
    <s v="Returned"/>
  </r>
  <r>
    <s v="ORD-00117"/>
    <x v="453"/>
    <s v="CUST-0169"/>
    <s v="Customer 169"/>
    <x v="2"/>
    <s v="Mandalay"/>
    <s v="Office Supplies"/>
    <x v="4"/>
    <x v="4"/>
    <n v="380800"/>
    <n v="0.02"/>
    <x v="887"/>
    <n v="840000"/>
    <n v="279552"/>
    <s v="KBZ Pay"/>
    <s v="Aung Aung"/>
    <s v="Completed"/>
  </r>
  <r>
    <s v="ORD-00489"/>
    <x v="454"/>
    <s v="CUST-0031"/>
    <s v="Customer 031"/>
    <x v="0"/>
    <s v="Mayangone"/>
    <s v="Furniture"/>
    <x v="6"/>
    <x v="5"/>
    <n v="304300"/>
    <n v="0.02"/>
    <x v="888"/>
    <n v="-1470000"/>
    <n v="-617498"/>
    <s v="Cash"/>
    <s v="Su Su"/>
    <s v="Returned"/>
  </r>
  <r>
    <s v="ORD-00244"/>
    <x v="455"/>
    <s v="CUST-0168"/>
    <s v="Customer 168"/>
    <x v="2"/>
    <s v="Amarapura"/>
    <s v="Accessories"/>
    <x v="14"/>
    <x v="6"/>
    <n v="74600"/>
    <n v="0.05"/>
    <x v="889"/>
    <n v="172000"/>
    <n v="111480"/>
    <s v="Wave Money"/>
    <s v="Kyaw Kyaw"/>
    <s v="Completed"/>
  </r>
  <r>
    <s v="ORD-00699"/>
    <x v="455"/>
    <s v="CUST-0070"/>
    <s v="Customer 070"/>
    <x v="0"/>
    <s v="Yangon"/>
    <s v="Electronics"/>
    <x v="8"/>
    <x v="4"/>
    <n v="690400"/>
    <n v="0.05"/>
    <x v="890"/>
    <n v="1410000"/>
    <n v="557640"/>
    <s v="KBZ Pay"/>
    <s v="Aung Aung"/>
    <s v="Completed"/>
  </r>
  <r>
    <s v="ORD-00067"/>
    <x v="455"/>
    <s v="CUST-0028"/>
    <s v="Customer 028"/>
    <x v="0"/>
    <s v="Mayangone"/>
    <s v="Furniture"/>
    <x v="6"/>
    <x v="4"/>
    <n v="294400"/>
    <n v="0"/>
    <x v="891"/>
    <n v="630000"/>
    <n v="253200"/>
    <s v="KBZ Pay"/>
    <s v="May Zin"/>
    <s v="Completed"/>
  </r>
  <r>
    <s v="ORD-00680"/>
    <x v="456"/>
    <s v="CUST-0130"/>
    <s v="Customer 130"/>
    <x v="4"/>
    <s v="Taunggyi"/>
    <s v="Office Supplies"/>
    <x v="4"/>
    <x v="0"/>
    <n v="390600"/>
    <n v="0"/>
    <x v="892"/>
    <n v="1400000"/>
    <n v="553000"/>
    <s v="Cash"/>
    <s v="Thiri"/>
    <s v="Completed"/>
  </r>
  <r>
    <s v="ORD-00187"/>
    <x v="456"/>
    <s v="CUST-0062"/>
    <s v="Customer 062"/>
    <x v="1"/>
    <s v="Pyinmana"/>
    <s v="Office Supplies"/>
    <x v="11"/>
    <x v="2"/>
    <n v="252600"/>
    <n v="0.08"/>
    <x v="893"/>
    <n v="990000"/>
    <n v="404352"/>
    <s v="KBZ Pay"/>
    <s v="Min Min"/>
    <s v="Completed"/>
  </r>
  <r>
    <s v="ORD-00253"/>
    <x v="456"/>
    <s v="CUST-0099"/>
    <s v="Customer 099"/>
    <x v="2"/>
    <s v="Chanmyathazi"/>
    <s v="Office Supplies"/>
    <x v="11"/>
    <x v="3"/>
    <n v="223400"/>
    <n v="0.02"/>
    <x v="894"/>
    <n v="165000"/>
    <n v="53932"/>
    <s v="Credit Card"/>
    <s v="Thiri"/>
    <s v="Completed"/>
  </r>
  <r>
    <s v="ORD-00358"/>
    <x v="456"/>
    <s v="CUST-0187"/>
    <s v="Customer 187"/>
    <x v="0"/>
    <s v="Hlaing"/>
    <s v="Office Supplies"/>
    <x v="1"/>
    <x v="2"/>
    <n v="27500"/>
    <n v="0.05"/>
    <x v="895"/>
    <n v="90000"/>
    <n v="66750"/>
    <s v="Bank Transfer"/>
    <s v="Su Su"/>
    <s v="Completed"/>
  </r>
  <r>
    <s v="ORD-00074"/>
    <x v="456"/>
    <s v="CUST-0019"/>
    <s v="Customer 019"/>
    <x v="4"/>
    <s v="Muse"/>
    <s v="Office Supplies"/>
    <x v="13"/>
    <x v="4"/>
    <n v="47400"/>
    <n v="0"/>
    <x v="8"/>
    <n v="0"/>
    <n v="0"/>
    <s v="Credit Card"/>
    <s v="Htet Htet"/>
    <s v="Cancelled"/>
  </r>
  <r>
    <s v="ORD-00012"/>
    <x v="457"/>
    <s v="CUST-0029"/>
    <s v="Customer 029"/>
    <x v="4"/>
    <s v="Taunggyi"/>
    <s v="Electronics"/>
    <x v="5"/>
    <x v="6"/>
    <n v="101200"/>
    <n v="0.02"/>
    <x v="896"/>
    <n v="220000"/>
    <n v="176704"/>
    <s v="Wave Money"/>
    <s v="Htet Htet"/>
    <s v="Completed"/>
  </r>
  <r>
    <s v="ORD-00334"/>
    <x v="457"/>
    <s v="CUST-0161"/>
    <s v="Customer 161"/>
    <x v="0"/>
    <s v="Hlaing"/>
    <s v="Electronics"/>
    <x v="5"/>
    <x v="1"/>
    <n v="88400"/>
    <n v="0.05"/>
    <x v="897"/>
    <n v="110000"/>
    <n v="57960"/>
    <s v="KBZ Pay"/>
    <s v="Min Min"/>
    <s v="Completed"/>
  </r>
  <r>
    <s v="ORD-00758"/>
    <x v="457"/>
    <s v="CUST-0124"/>
    <s v="Customer 124"/>
    <x v="1"/>
    <s v="Naypyidaw"/>
    <s v="Office Supplies"/>
    <x v="1"/>
    <x v="5"/>
    <n v="26900"/>
    <n v="0.05"/>
    <x v="898"/>
    <n v="105000"/>
    <n v="73885"/>
    <s v="KBZ Pay"/>
    <s v="Min Min"/>
    <s v="Completed"/>
  </r>
  <r>
    <s v="ORD-00399"/>
    <x v="458"/>
    <s v="CUST-0195"/>
    <s v="Customer 195"/>
    <x v="0"/>
    <s v="Hlaing"/>
    <s v="Electronics"/>
    <x v="3"/>
    <x v="1"/>
    <n v="1279500"/>
    <n v="0.02"/>
    <x v="899"/>
    <n v="1900000"/>
    <n v="607820"/>
    <s v="Bank Transfer"/>
    <s v="Su Su"/>
    <s v="Completed"/>
  </r>
  <r>
    <s v="ORD-00024"/>
    <x v="459"/>
    <s v="CUST-0115"/>
    <s v="Customer 115"/>
    <x v="0"/>
    <s v="Yangon"/>
    <s v="Electronics"/>
    <x v="5"/>
    <x v="5"/>
    <n v="98400"/>
    <n v="0.02"/>
    <x v="900"/>
    <n v="385000"/>
    <n v="290024"/>
    <s v="Wave Money"/>
    <s v="Kyaw Kyaw"/>
    <s v="Completed"/>
  </r>
  <r>
    <s v="ORD-00311"/>
    <x v="460"/>
    <s v="CUST-0168"/>
    <s v="Customer 168"/>
    <x v="0"/>
    <s v="Yangon"/>
    <s v="Furniture"/>
    <x v="6"/>
    <x v="0"/>
    <n v="305900"/>
    <n v="0.05"/>
    <x v="901"/>
    <n v="1050000"/>
    <n v="403025"/>
    <s v="KBZ Pay"/>
    <s v="May Zin"/>
    <s v="Completed"/>
  </r>
  <r>
    <s v="ORD-00837"/>
    <x v="461"/>
    <s v="CUST-0114"/>
    <s v="Customer 114"/>
    <x v="1"/>
    <s v="Naypyidaw"/>
    <s v="Accessories"/>
    <x v="10"/>
    <x v="4"/>
    <n v="85500"/>
    <n v="0.05"/>
    <x v="902"/>
    <n v="174000"/>
    <n v="69675"/>
    <s v="Credit Card"/>
    <s v="May Zin"/>
    <s v="Completed"/>
  </r>
  <r>
    <s v="ORD-00943"/>
    <x v="461"/>
    <s v="CUST-0167"/>
    <s v="Customer 167"/>
    <x v="3"/>
    <s v="Taungoo"/>
    <s v="Office Supplies"/>
    <x v="4"/>
    <x v="6"/>
    <n v="354900"/>
    <n v="0.08"/>
    <x v="903"/>
    <n v="1120000"/>
    <n v="186032"/>
    <s v="Wave Money"/>
    <s v="Thiri"/>
    <s v="Completed"/>
  </r>
  <r>
    <s v="ORD-00327"/>
    <x v="462"/>
    <s v="CUST-0108"/>
    <s v="Customer 108"/>
    <x v="1"/>
    <s v="Zabuthiri"/>
    <s v="Office Supplies"/>
    <x v="1"/>
    <x v="4"/>
    <n v="26100"/>
    <n v="0.15"/>
    <x v="904"/>
    <n v="45000"/>
    <n v="21555"/>
    <s v="Credit Card"/>
    <s v="Min Min"/>
    <s v="Completed"/>
  </r>
  <r>
    <s v="ORD-00361"/>
    <x v="462"/>
    <s v="CUST-0161"/>
    <s v="Customer 161"/>
    <x v="1"/>
    <s v="Pyinmana"/>
    <s v="Furniture"/>
    <x v="2"/>
    <x v="5"/>
    <n v="494000"/>
    <n v="0"/>
    <x v="905"/>
    <n v="2555000"/>
    <n v="903000"/>
    <s v="Credit Card"/>
    <s v="Htet Htet"/>
    <s v="Completed"/>
  </r>
  <r>
    <s v="ORD-00205"/>
    <x v="463"/>
    <s v="CUST-0138"/>
    <s v="Customer 138"/>
    <x v="1"/>
    <s v="Pyinmana"/>
    <s v="Electronics"/>
    <x v="5"/>
    <x v="4"/>
    <n v="102500"/>
    <n v="0.02"/>
    <x v="906"/>
    <n v="165000"/>
    <n v="136350"/>
    <s v="Credit Card"/>
    <s v="Nandar"/>
    <s v="Completed"/>
  </r>
  <r>
    <s v="ORD-00266"/>
    <x v="463"/>
    <s v="CUST-0206"/>
    <s v="Customer 206"/>
    <x v="0"/>
    <s v="Mayangone"/>
    <s v="Office Supplies"/>
    <x v="1"/>
    <x v="4"/>
    <n v="29900"/>
    <n v="0.02"/>
    <x v="907"/>
    <n v="45000"/>
    <n v="42906"/>
    <s v="Bank Transfer"/>
    <s v="Min Min"/>
    <s v="Completed"/>
  </r>
  <r>
    <s v="ORD-00231"/>
    <x v="464"/>
    <s v="CUST-0051"/>
    <s v="Customer 051"/>
    <x v="0"/>
    <s v="Hlaing"/>
    <s v="Electronics"/>
    <x v="5"/>
    <x v="1"/>
    <n v="88900"/>
    <n v="0.02"/>
    <x v="908"/>
    <n v="110000"/>
    <n v="64244"/>
    <s v="Cash"/>
    <s v="May Zin"/>
    <s v="Completed"/>
  </r>
  <r>
    <s v="ORD-00078"/>
    <x v="464"/>
    <s v="CUST-0030"/>
    <s v="Customer 030"/>
    <x v="0"/>
    <s v="Yangon"/>
    <s v="Furniture"/>
    <x v="9"/>
    <x v="6"/>
    <n v="189800"/>
    <n v="0"/>
    <x v="909"/>
    <n v="460000"/>
    <n v="299200"/>
    <s v="Credit Card"/>
    <s v="Min Min"/>
    <s v="Completed"/>
  </r>
  <r>
    <s v="ORD-00527"/>
    <x v="464"/>
    <s v="CUST-0144"/>
    <s v="Customer 144"/>
    <x v="3"/>
    <s v="Pyay"/>
    <s v="Furniture"/>
    <x v="6"/>
    <x v="5"/>
    <n v="326500"/>
    <n v="0.15"/>
    <x v="910"/>
    <n v="1470000"/>
    <n v="472675"/>
    <s v="Credit Card"/>
    <s v="Nandar"/>
    <s v="Completed"/>
  </r>
  <r>
    <s v="ORD-00585"/>
    <x v="465"/>
    <s v="CUST-0216"/>
    <s v="Customer 216"/>
    <x v="2"/>
    <s v="Chanmyathazi"/>
    <s v="Accessories"/>
    <x v="12"/>
    <x v="5"/>
    <n v="80100"/>
    <n v="0.1"/>
    <x v="911"/>
    <n v="364000"/>
    <n v="140630"/>
    <s v="Credit Card"/>
    <s v="Thiri"/>
    <s v="Completed"/>
  </r>
  <r>
    <s v="ORD-00139"/>
    <x v="465"/>
    <s v="CUST-0119"/>
    <s v="Customer 119"/>
    <x v="0"/>
    <s v="Hlaing"/>
    <s v="Electronics"/>
    <x v="8"/>
    <x v="5"/>
    <n v="618900"/>
    <n v="0.08"/>
    <x v="912"/>
    <n v="3290000"/>
    <n v="695716"/>
    <s v="KBZ Pay"/>
    <s v="Htet Htet"/>
    <s v="Completed"/>
  </r>
  <r>
    <s v="ORD-00698"/>
    <x v="465"/>
    <s v="CUST-0216"/>
    <s v="Customer 216"/>
    <x v="4"/>
    <s v="Taunggyi"/>
    <s v="Electronics"/>
    <x v="0"/>
    <x v="5"/>
    <n v="411000"/>
    <n v="0.1"/>
    <x v="913"/>
    <n v="2100000"/>
    <n v="489300"/>
    <s v="Wave Money"/>
    <s v="Kyaw Kyaw"/>
    <s v="Completed"/>
  </r>
  <r>
    <s v="ORD-00159"/>
    <x v="465"/>
    <s v="CUST-0141"/>
    <s v="Customer 141"/>
    <x v="0"/>
    <s v="Tamwe"/>
    <s v="Accessories"/>
    <x v="7"/>
    <x v="2"/>
    <n v="31100"/>
    <n v="0.08"/>
    <x v="914"/>
    <n v="108000"/>
    <n v="63672"/>
    <s v="KBZ Pay"/>
    <s v="Aung Aung"/>
    <s v="Completed"/>
  </r>
  <r>
    <s v="ORD-00849"/>
    <x v="466"/>
    <s v="CUST-0182"/>
    <s v="Customer 182"/>
    <x v="0"/>
    <s v="Tamwe"/>
    <s v="Electronics"/>
    <x v="3"/>
    <x v="0"/>
    <n v="1349600"/>
    <n v="0.1"/>
    <x v="915"/>
    <n v="4750000"/>
    <n v="1323200"/>
    <s v="KBZ Pay"/>
    <s v="Aung Aung"/>
    <s v="Completed"/>
  </r>
  <r>
    <s v="ORD-00591"/>
    <x v="466"/>
    <s v="CUST-0094"/>
    <s v="Customer 094"/>
    <x v="0"/>
    <s v="Mayangone"/>
    <s v="Accessories"/>
    <x v="14"/>
    <x v="3"/>
    <n v="70200"/>
    <n v="0.05"/>
    <x v="916"/>
    <n v="43000"/>
    <n v="23690"/>
    <s v="KBZ Pay"/>
    <s v="Thiri"/>
    <s v="Completed"/>
  </r>
  <r>
    <s v="ORD-00493"/>
    <x v="467"/>
    <s v="CUST-0215"/>
    <s v="Customer 215"/>
    <x v="3"/>
    <s v="Taungoo"/>
    <s v="Office Supplies"/>
    <x v="4"/>
    <x v="0"/>
    <n v="402600"/>
    <n v="0.08"/>
    <x v="917"/>
    <n v="1400000"/>
    <n v="451960"/>
    <s v="KBZ Pay"/>
    <s v="Kyaw Kyaw"/>
    <s v="Completed"/>
  </r>
  <r>
    <s v="ORD-00727"/>
    <x v="467"/>
    <s v="CUST-0028"/>
    <s v="Customer 028"/>
    <x v="0"/>
    <s v="Mayangone"/>
    <s v="Accessories"/>
    <x v="10"/>
    <x v="0"/>
    <n v="84200"/>
    <n v="0.05"/>
    <x v="918"/>
    <n v="290000"/>
    <n v="109950"/>
    <s v="Wave Money"/>
    <s v="Su Su"/>
    <s v="Completed"/>
  </r>
  <r>
    <s v="ORD-00548"/>
    <x v="468"/>
    <s v="CUST-0073"/>
    <s v="Customer 073"/>
    <x v="0"/>
    <s v="Hlaing"/>
    <s v="Furniture"/>
    <x v="2"/>
    <x v="0"/>
    <n v="511200"/>
    <n v="0.1"/>
    <x v="919"/>
    <n v="1825000"/>
    <n v="475400"/>
    <s v="Credit Card"/>
    <s v="Nandar"/>
    <s v="Completed"/>
  </r>
  <r>
    <s v="ORD-00990"/>
    <x v="469"/>
    <s v="CUST-0128"/>
    <s v="Customer 128"/>
    <x v="4"/>
    <s v="Lashio"/>
    <s v="Electronics"/>
    <x v="3"/>
    <x v="5"/>
    <n v="1236900"/>
    <n v="0.02"/>
    <x v="920"/>
    <n v="6650000"/>
    <n v="1835134"/>
    <s v="Cash"/>
    <s v="Min Min"/>
    <s v="Completed"/>
  </r>
  <r>
    <s v="ORD-00322"/>
    <x v="469"/>
    <s v="CUST-0005"/>
    <s v="Customer 005"/>
    <x v="1"/>
    <s v="Naypyidaw"/>
    <s v="Office Supplies"/>
    <x v="13"/>
    <x v="0"/>
    <n v="43600"/>
    <n v="0.02"/>
    <x v="921"/>
    <n v="130000"/>
    <n v="83640"/>
    <s v="Cash"/>
    <s v="Aung Aung"/>
    <s v="Completed"/>
  </r>
  <r>
    <s v="ORD-00544"/>
    <x v="470"/>
    <s v="CUST-0138"/>
    <s v="Customer 138"/>
    <x v="2"/>
    <s v="Amarapura"/>
    <s v="Electronics"/>
    <x v="8"/>
    <x v="2"/>
    <n v="634400"/>
    <n v="0.05"/>
    <x v="922"/>
    <n v="-2820000"/>
    <n v="-796080"/>
    <s v="Bank Transfer"/>
    <s v="May Zin"/>
    <s v="Returned"/>
  </r>
  <r>
    <s v="ORD-00216"/>
    <x v="470"/>
    <s v="CUST-0160"/>
    <s v="Customer 160"/>
    <x v="2"/>
    <s v="Chanmyathazi"/>
    <s v="Electronics"/>
    <x v="5"/>
    <x v="1"/>
    <n v="93600"/>
    <n v="0.02"/>
    <x v="923"/>
    <n v="-110000"/>
    <n v="-73456"/>
    <s v="KBZ Pay"/>
    <s v="Nandar"/>
    <s v="Returned"/>
  </r>
  <r>
    <s v="ORD-00328"/>
    <x v="470"/>
    <s v="CUST-0096"/>
    <s v="Customer 096"/>
    <x v="0"/>
    <s v="Hlaing"/>
    <s v="Electronics"/>
    <x v="8"/>
    <x v="2"/>
    <n v="698400"/>
    <n v="0.02"/>
    <x v="924"/>
    <n v="2820000"/>
    <n v="1286592"/>
    <s v="Cash"/>
    <s v="Nandar"/>
    <s v="Completed"/>
  </r>
  <r>
    <s v="ORD-00468"/>
    <x v="471"/>
    <s v="CUST-0071"/>
    <s v="Customer 071"/>
    <x v="0"/>
    <s v="Mayangone"/>
    <s v="Office Supplies"/>
    <x v="4"/>
    <x v="4"/>
    <n v="403000"/>
    <n v="0.05"/>
    <x v="8"/>
    <n v="0"/>
    <n v="0"/>
    <s v="Cash"/>
    <s v="May Zin"/>
    <s v="Cancelled"/>
  </r>
  <r>
    <s v="ORD-00625"/>
    <x v="471"/>
    <s v="CUST-0057"/>
    <s v="Customer 057"/>
    <x v="1"/>
    <s v="Zabuthiri"/>
    <s v="Office Supplies"/>
    <x v="4"/>
    <x v="4"/>
    <n v="376900"/>
    <n v="0.02"/>
    <x v="925"/>
    <n v="840000"/>
    <n v="268086"/>
    <s v="KBZ Pay"/>
    <s v="May Zin"/>
    <s v="Completed"/>
  </r>
  <r>
    <s v="ORD-00366"/>
    <x v="472"/>
    <s v="CUST-0003"/>
    <s v="Customer 003"/>
    <x v="0"/>
    <s v="Hlaing"/>
    <s v="Accessories"/>
    <x v="7"/>
    <x v="6"/>
    <n v="29600"/>
    <n v="0.1"/>
    <x v="926"/>
    <n v="72000"/>
    <n v="34560"/>
    <s v="Wave Money"/>
    <s v="Nandar"/>
    <s v="Completed"/>
  </r>
  <r>
    <s v="ORD-00702"/>
    <x v="472"/>
    <s v="CUST-0247"/>
    <s v="Customer 247"/>
    <x v="2"/>
    <s v="Amarapura"/>
    <s v="Office Supplies"/>
    <x v="4"/>
    <x v="6"/>
    <n v="371300"/>
    <n v="0.08"/>
    <x v="927"/>
    <n v="1120000"/>
    <n v="246384"/>
    <s v="Bank Transfer"/>
    <s v="Aung Aung"/>
    <s v="Completed"/>
  </r>
  <r>
    <s v="ORD-00759"/>
    <x v="473"/>
    <s v="CUST-0095"/>
    <s v="Customer 095"/>
    <x v="2"/>
    <s v="Amarapura"/>
    <s v="Electronics"/>
    <x v="3"/>
    <x v="4"/>
    <n v="1168200"/>
    <n v="0.1"/>
    <x v="928"/>
    <n v="2850000"/>
    <n v="304140"/>
    <s v="Cash"/>
    <s v="Htet Htet"/>
    <s v="Completed"/>
  </r>
  <r>
    <s v="ORD-00304"/>
    <x v="474"/>
    <s v="CUST-0206"/>
    <s v="Customer 206"/>
    <x v="3"/>
    <s v="Bago"/>
    <s v="Office Supplies"/>
    <x v="11"/>
    <x v="0"/>
    <n v="222100"/>
    <n v="0"/>
    <x v="929"/>
    <n v="825000"/>
    <n v="285500"/>
    <s v="KBZ Pay"/>
    <s v="Aung Aung"/>
    <s v="Completed"/>
  </r>
  <r>
    <s v="ORD-00409"/>
    <x v="475"/>
    <s v="CUST-0143"/>
    <s v="Customer 143"/>
    <x v="0"/>
    <s v="Hlaing"/>
    <s v="Office Supplies"/>
    <x v="13"/>
    <x v="0"/>
    <n v="47500"/>
    <n v="0.02"/>
    <x v="930"/>
    <n v="130000"/>
    <n v="102750"/>
    <s v="Bank Transfer"/>
    <s v="Kyaw Kyaw"/>
    <s v="Completed"/>
  </r>
  <r>
    <s v="ORD-00406"/>
    <x v="475"/>
    <s v="CUST-0213"/>
    <s v="Customer 213"/>
    <x v="3"/>
    <s v="Pyay"/>
    <s v="Office Supplies"/>
    <x v="4"/>
    <x v="2"/>
    <n v="375400"/>
    <n v="0.08"/>
    <x v="931"/>
    <n v="1680000"/>
    <n v="392208"/>
    <s v="KBZ Pay"/>
    <s v="Nandar"/>
    <s v="Completed"/>
  </r>
  <r>
    <s v="ORD-00041"/>
    <x v="475"/>
    <s v="CUST-0217"/>
    <s v="Customer 217"/>
    <x v="0"/>
    <s v="Tamwe"/>
    <s v="Electronics"/>
    <x v="5"/>
    <x v="1"/>
    <n v="98000"/>
    <n v="0.05"/>
    <x v="932"/>
    <n v="-110000"/>
    <n v="-76200"/>
    <s v="Credit Card"/>
    <s v="Thiri"/>
    <s v="Returned"/>
  </r>
  <r>
    <s v="ORD-00901"/>
    <x v="475"/>
    <s v="CUST-0111"/>
    <s v="Customer 111"/>
    <x v="0"/>
    <s v="Mayangone"/>
    <s v="Electronics"/>
    <x v="0"/>
    <x v="3"/>
    <n v="396500"/>
    <n v="0.05"/>
    <x v="933"/>
    <n v="300000"/>
    <n v="76675"/>
    <s v="KBZ Pay"/>
    <s v="Kyaw Kyaw"/>
    <s v="Completed"/>
  </r>
  <r>
    <s v="ORD-00211"/>
    <x v="475"/>
    <s v="CUST-0198"/>
    <s v="Customer 198"/>
    <x v="2"/>
    <s v="Mandalay"/>
    <s v="Office Supplies"/>
    <x v="13"/>
    <x v="1"/>
    <n v="42600"/>
    <n v="0.08"/>
    <x v="934"/>
    <n v="52000"/>
    <n v="26384"/>
    <s v="Bank Transfer"/>
    <s v="Aung Aung"/>
    <s v="Completed"/>
  </r>
  <r>
    <s v="ORD-00336"/>
    <x v="476"/>
    <s v="CUST-0028"/>
    <s v="Customer 028"/>
    <x v="2"/>
    <s v="Chanmyathazi"/>
    <s v="Furniture"/>
    <x v="6"/>
    <x v="3"/>
    <n v="295400"/>
    <n v="0.08"/>
    <x v="935"/>
    <n v="210000"/>
    <n v="61768"/>
    <s v="Credit Card"/>
    <s v="Aung Aung"/>
    <s v="Completed"/>
  </r>
  <r>
    <s v="ORD-00034"/>
    <x v="477"/>
    <s v="CUST-0122"/>
    <s v="Customer 122"/>
    <x v="1"/>
    <s v="Zabuthiri"/>
    <s v="Electronics"/>
    <x v="3"/>
    <x v="2"/>
    <n v="1317200"/>
    <n v="0.08"/>
    <x v="936"/>
    <n v="5700000"/>
    <n v="1570944"/>
    <s v="KBZ Pay"/>
    <s v="Aung Aung"/>
    <s v="Completed"/>
  </r>
  <r>
    <s v="ORD-00711"/>
    <x v="477"/>
    <s v="CUST-0104"/>
    <s v="Customer 104"/>
    <x v="4"/>
    <s v="Muse"/>
    <s v="Accessories"/>
    <x v="12"/>
    <x v="5"/>
    <n v="80900"/>
    <n v="0.05"/>
    <x v="937"/>
    <n v="364000"/>
    <n v="173985"/>
    <s v="KBZ Pay"/>
    <s v="Htet Htet"/>
    <s v="Completed"/>
  </r>
  <r>
    <s v="ORD-00262"/>
    <x v="477"/>
    <s v="CUST-0082"/>
    <s v="Customer 082"/>
    <x v="2"/>
    <s v="Mandalay"/>
    <s v="Office Supplies"/>
    <x v="1"/>
    <x v="1"/>
    <n v="28000"/>
    <n v="0.05"/>
    <x v="8"/>
    <n v="0"/>
    <n v="0"/>
    <s v="Credit Card"/>
    <s v="Nandar"/>
    <s v="Cancelled"/>
  </r>
  <r>
    <s v="ORD-00223"/>
    <x v="477"/>
    <s v="CUST-0200"/>
    <s v="Customer 200"/>
    <x v="0"/>
    <s v="Yangon"/>
    <s v="Office Supplies"/>
    <x v="13"/>
    <x v="6"/>
    <n v="47000"/>
    <n v="0"/>
    <x v="938"/>
    <n v="104000"/>
    <n v="84000"/>
    <s v="Wave Money"/>
    <s v="Htet Htet"/>
    <s v="Completed"/>
  </r>
  <r>
    <s v="ORD-00134"/>
    <x v="478"/>
    <s v="CUST-0122"/>
    <s v="Customer 122"/>
    <x v="3"/>
    <s v="Pyay"/>
    <s v="Office Supplies"/>
    <x v="13"/>
    <x v="6"/>
    <n v="41500"/>
    <n v="0.08"/>
    <x v="939"/>
    <n v="104000"/>
    <n v="48720"/>
    <s v="Credit Card"/>
    <s v="Min Min"/>
    <s v="Completed"/>
  </r>
  <r>
    <s v="ORD-00161"/>
    <x v="478"/>
    <s v="CUST-0194"/>
    <s v="Customer 194"/>
    <x v="2"/>
    <s v="Mandalay"/>
    <s v="Office Supplies"/>
    <x v="1"/>
    <x v="6"/>
    <n v="25800"/>
    <n v="0.05"/>
    <x v="940"/>
    <n v="60000"/>
    <n v="38040"/>
    <s v="KBZ Pay"/>
    <s v="Kyaw Kyaw"/>
    <s v="Completed"/>
  </r>
  <r>
    <s v="ORD-00242"/>
    <x v="478"/>
    <s v="CUST-0004"/>
    <s v="Customer 004"/>
    <x v="0"/>
    <s v="Yangon"/>
    <s v="Office Supplies"/>
    <x v="11"/>
    <x v="3"/>
    <n v="247800"/>
    <n v="0.02"/>
    <x v="941"/>
    <n v="165000"/>
    <n v="77844"/>
    <s v="Credit Card"/>
    <s v="Kyaw Kyaw"/>
    <s v="Complet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3CAC6D-F1C2-4FEA-BCE4-B2C4BF738477}"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A3:B9" firstHeaderRow="1" firstDataRow="1" firstDataCol="1"/>
  <pivotFields count="19">
    <pivotField showAll="0"/>
    <pivotField numFmtId="164" showAll="0">
      <items count="15">
        <item x="0"/>
        <item x="1"/>
        <item x="2"/>
        <item x="3"/>
        <item x="4"/>
        <item x="5"/>
        <item x="6"/>
        <item x="7"/>
        <item x="8"/>
        <item x="9"/>
        <item x="10"/>
        <item x="11"/>
        <item x="12"/>
        <item x="13"/>
        <item t="default"/>
      </items>
    </pivotField>
    <pivotField showAll="0"/>
    <pivotField showAll="0"/>
    <pivotField axis="axisRow" showAll="0">
      <items count="6">
        <item x="3"/>
        <item x="2"/>
        <item x="1"/>
        <item x="4"/>
        <item x="0"/>
        <item t="default"/>
      </items>
    </pivotField>
    <pivotField showAll="0"/>
    <pivotField showAll="0"/>
    <pivotField showAll="0">
      <items count="16">
        <item x="9"/>
        <item x="6"/>
        <item x="5"/>
        <item x="13"/>
        <item x="3"/>
        <item x="14"/>
        <item x="2"/>
        <item x="0"/>
        <item x="1"/>
        <item x="11"/>
        <item x="10"/>
        <item x="4"/>
        <item x="8"/>
        <item x="7"/>
        <item x="12"/>
        <item t="default"/>
      </items>
    </pivotField>
    <pivotField showAll="0"/>
    <pivotField numFmtId="3" showAll="0"/>
    <pivotField numFmtId="9" showAll="0"/>
    <pivotField dataField="1" numFmtId="4"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4"/>
  </rowFields>
  <rowItems count="6">
    <i>
      <x/>
    </i>
    <i>
      <x v="1"/>
    </i>
    <i>
      <x v="2"/>
    </i>
    <i>
      <x v="3"/>
    </i>
    <i>
      <x v="4"/>
    </i>
    <i t="grand">
      <x/>
    </i>
  </rowItems>
  <colItems count="1">
    <i/>
  </colItems>
  <dataFields count="1">
    <dataField name="Sum of Sales" fld="11" baseField="0" baseItem="0" numFmtId="166"/>
  </dataFields>
  <formats count="1">
    <format dxfId="3">
      <pivotArea outline="0" collapsedLevelsAreSubtotals="1" fieldPosition="0"/>
    </format>
  </formats>
  <chartFormats count="8">
    <chartFormat chart="13"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0"/>
          </reference>
        </references>
      </pivotArea>
    </chartFormat>
    <chartFormat chart="17" format="8">
      <pivotArea type="data" outline="0" fieldPosition="0">
        <references count="2">
          <reference field="4294967294" count="1" selected="0">
            <x v="0"/>
          </reference>
          <reference field="4" count="1" selected="0">
            <x v="0"/>
          </reference>
        </references>
      </pivotArea>
    </chartFormat>
    <chartFormat chart="17" format="9">
      <pivotArea type="data" outline="0" fieldPosition="0">
        <references count="2">
          <reference field="4294967294" count="1" selected="0">
            <x v="0"/>
          </reference>
          <reference field="4" count="1" selected="0">
            <x v="1"/>
          </reference>
        </references>
      </pivotArea>
    </chartFormat>
    <chartFormat chart="17" format="10">
      <pivotArea type="data" outline="0" fieldPosition="0">
        <references count="2">
          <reference field="4294967294" count="1" selected="0">
            <x v="0"/>
          </reference>
          <reference field="4" count="1" selected="0">
            <x v="2"/>
          </reference>
        </references>
      </pivotArea>
    </chartFormat>
    <chartFormat chart="17" format="11">
      <pivotArea type="data" outline="0" fieldPosition="0">
        <references count="2">
          <reference field="4294967294" count="1" selected="0">
            <x v="0"/>
          </reference>
          <reference field="4" count="1" selected="0">
            <x v="3"/>
          </reference>
        </references>
      </pivotArea>
    </chartFormat>
    <chartFormat chart="17" format="12">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729319-90BA-4607-80B8-3F6A2DE7D8BB}"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J3:K19" firstHeaderRow="1" firstDataRow="1" firstDataCol="1"/>
  <pivotFields count="19">
    <pivotField showAll="0"/>
    <pivotField numFmtId="164" showAll="0">
      <items count="15">
        <item x="0"/>
        <item x="1"/>
        <item x="2"/>
        <item x="3"/>
        <item x="4"/>
        <item x="5"/>
        <item x="6"/>
        <item x="7"/>
        <item x="8"/>
        <item x="9"/>
        <item x="10"/>
        <item x="11"/>
        <item x="12"/>
        <item x="13"/>
        <item t="default"/>
      </items>
    </pivotField>
    <pivotField showAll="0"/>
    <pivotField showAll="0"/>
    <pivotField showAll="0">
      <items count="6">
        <item x="3"/>
        <item x="2"/>
        <item x="1"/>
        <item x="4"/>
        <item x="0"/>
        <item t="default"/>
      </items>
    </pivotField>
    <pivotField showAll="0"/>
    <pivotField showAll="0"/>
    <pivotField axis="axisRow" showAll="0">
      <items count="16">
        <item x="9"/>
        <item x="6"/>
        <item x="5"/>
        <item x="13"/>
        <item x="3"/>
        <item x="14"/>
        <item x="2"/>
        <item x="0"/>
        <item x="1"/>
        <item x="11"/>
        <item x="10"/>
        <item x="4"/>
        <item x="8"/>
        <item x="7"/>
        <item x="12"/>
        <item t="default"/>
      </items>
    </pivotField>
    <pivotField dataField="1" showAll="0">
      <items count="8">
        <item x="3"/>
        <item x="1"/>
        <item x="4"/>
        <item x="6"/>
        <item x="0"/>
        <item x="2"/>
        <item x="5"/>
        <item t="default"/>
      </items>
    </pivotField>
    <pivotField numFmtId="3" showAll="0"/>
    <pivotField numFmtId="9" showAll="0"/>
    <pivotField numFmtId="4" showAll="0"/>
    <pivotField showAll="0"/>
    <pivotField showAll="0"/>
    <pivotField showAll="0"/>
    <pivotField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7"/>
  </rowFields>
  <rowItems count="16">
    <i>
      <x/>
    </i>
    <i>
      <x v="1"/>
    </i>
    <i>
      <x v="2"/>
    </i>
    <i>
      <x v="3"/>
    </i>
    <i>
      <x v="4"/>
    </i>
    <i>
      <x v="5"/>
    </i>
    <i>
      <x v="6"/>
    </i>
    <i>
      <x v="7"/>
    </i>
    <i>
      <x v="8"/>
    </i>
    <i>
      <x v="9"/>
    </i>
    <i>
      <x v="10"/>
    </i>
    <i>
      <x v="11"/>
    </i>
    <i>
      <x v="12"/>
    </i>
    <i>
      <x v="13"/>
    </i>
    <i>
      <x v="14"/>
    </i>
    <i t="grand">
      <x/>
    </i>
  </rowItems>
  <colItems count="1">
    <i/>
  </colItems>
  <dataFields count="1">
    <dataField name="Sum of Quantity" fld="8" baseField="0" baseItem="0"/>
  </dataFields>
  <formats count="1">
    <format dxfId="4">
      <pivotArea outline="0" collapsedLevelsAreSubtotals="1" fieldPosition="0"/>
    </format>
  </format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B8E67D-D86F-400D-A0C6-04DB24383DF2}"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G3:H19" firstHeaderRow="1" firstDataRow="1" firstDataCol="1"/>
  <pivotFields count="19">
    <pivotField showAll="0"/>
    <pivotField numFmtId="164" showAll="0">
      <items count="15">
        <item x="0"/>
        <item x="1"/>
        <item x="2"/>
        <item x="3"/>
        <item x="4"/>
        <item x="5"/>
        <item x="6"/>
        <item x="7"/>
        <item x="8"/>
        <item x="9"/>
        <item x="10"/>
        <item x="11"/>
        <item x="12"/>
        <item x="13"/>
        <item t="default"/>
      </items>
    </pivotField>
    <pivotField showAll="0"/>
    <pivotField showAll="0"/>
    <pivotField showAll="0">
      <items count="6">
        <item x="3"/>
        <item x="2"/>
        <item x="1"/>
        <item x="4"/>
        <item x="0"/>
        <item t="default"/>
      </items>
    </pivotField>
    <pivotField showAll="0"/>
    <pivotField showAll="0"/>
    <pivotField axis="axisRow" showAll="0">
      <items count="16">
        <item x="9"/>
        <item x="6"/>
        <item x="5"/>
        <item x="13"/>
        <item x="3"/>
        <item x="14"/>
        <item x="2"/>
        <item x="0"/>
        <item x="1"/>
        <item x="11"/>
        <item x="10"/>
        <item x="4"/>
        <item x="8"/>
        <item x="7"/>
        <item x="12"/>
        <item t="default"/>
      </items>
    </pivotField>
    <pivotField showAll="0"/>
    <pivotField numFmtId="3" showAll="0"/>
    <pivotField numFmtId="9" showAll="0"/>
    <pivotField dataField="1" numFmtId="4" showAll="0"/>
    <pivotField showAll="0"/>
    <pivotField showAll="0"/>
    <pivotField showAll="0"/>
    <pivotField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7"/>
  </rowFields>
  <rowItems count="16">
    <i>
      <x/>
    </i>
    <i>
      <x v="1"/>
    </i>
    <i>
      <x v="2"/>
    </i>
    <i>
      <x v="3"/>
    </i>
    <i>
      <x v="4"/>
    </i>
    <i>
      <x v="5"/>
    </i>
    <i>
      <x v="6"/>
    </i>
    <i>
      <x v="7"/>
    </i>
    <i>
      <x v="8"/>
    </i>
    <i>
      <x v="9"/>
    </i>
    <i>
      <x v="10"/>
    </i>
    <i>
      <x v="11"/>
    </i>
    <i>
      <x v="12"/>
    </i>
    <i>
      <x v="13"/>
    </i>
    <i>
      <x v="14"/>
    </i>
    <i t="grand">
      <x/>
    </i>
  </rowItems>
  <colItems count="1">
    <i/>
  </colItems>
  <dataFields count="1">
    <dataField name="Sum of Sales" fld="11" baseField="0" baseItem="0"/>
  </dataFields>
  <formats count="1">
    <format dxfId="5">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5B32BB-087C-4B08-820D-69605F861F80}"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D3:E16" firstHeaderRow="1" firstDataRow="1" firstDataCol="1"/>
  <pivotFields count="19">
    <pivotField showAll="0"/>
    <pivotField axis="axisRow" numFmtId="164" showAll="0">
      <items count="15">
        <item x="0"/>
        <item x="1"/>
        <item x="2"/>
        <item x="3"/>
        <item x="4"/>
        <item x="5"/>
        <item x="6"/>
        <item x="7"/>
        <item x="8"/>
        <item x="9"/>
        <item x="10"/>
        <item x="11"/>
        <item x="12"/>
        <item x="13"/>
        <item t="default"/>
      </items>
    </pivotField>
    <pivotField showAll="0"/>
    <pivotField showAll="0"/>
    <pivotField showAll="0">
      <items count="6">
        <item x="3"/>
        <item x="2"/>
        <item x="1"/>
        <item x="4"/>
        <item x="0"/>
        <item t="default"/>
      </items>
    </pivotField>
    <pivotField showAll="0"/>
    <pivotField showAll="0"/>
    <pivotField showAll="0">
      <items count="16">
        <item x="9"/>
        <item x="6"/>
        <item x="5"/>
        <item x="13"/>
        <item x="3"/>
        <item x="14"/>
        <item x="2"/>
        <item x="0"/>
        <item x="1"/>
        <item x="11"/>
        <item x="10"/>
        <item x="4"/>
        <item x="8"/>
        <item x="7"/>
        <item x="12"/>
        <item t="default"/>
      </items>
    </pivotField>
    <pivotField showAll="0"/>
    <pivotField numFmtId="3" showAll="0"/>
    <pivotField numFmtId="9" showAll="0"/>
    <pivotField dataField="1" numFmtId="4" showAll="0"/>
    <pivotField showAll="0"/>
    <pivotField showAll="0"/>
    <pivotField showAll="0"/>
    <pivotField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Sales" fld="11" baseField="0" baseItem="0"/>
  </dataFields>
  <formats count="1">
    <format dxfId="6">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E28AF1C-9611-4D64-9A52-4929D9C3AF25}" sourceName="Region">
  <pivotTables>
    <pivotTable tabId="8" name="PivotTable4"/>
    <pivotTable tabId="8" name="PivotTable1"/>
    <pivotTable tabId="8" name="PivotTable2"/>
    <pivotTable tabId="8" name="PivotTable3"/>
  </pivotTables>
  <data>
    <tabular pivotCacheId="1141016423">
      <items count="5">
        <i x="3" s="1"/>
        <i x="2" s="1"/>
        <i x="1"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73E614A-43C6-4D64-919F-108E526F0CD4}" sourceName="Product">
  <pivotTables>
    <pivotTable tabId="8" name="PivotTable4"/>
    <pivotTable tabId="8" name="PivotTable1"/>
    <pivotTable tabId="8" name="PivotTable2"/>
    <pivotTable tabId="8" name="PivotTable3"/>
  </pivotTables>
  <data>
    <tabular pivotCacheId="1141016423">
      <items count="15">
        <i x="9" s="1"/>
        <i x="6" s="1"/>
        <i x="5" s="1"/>
        <i x="13" s="1"/>
        <i x="3" s="1"/>
        <i x="14" s="1"/>
        <i x="2" s="1"/>
        <i x="0" s="1"/>
        <i x="1" s="1"/>
        <i x="11" s="1"/>
        <i x="10" s="1"/>
        <i x="4" s="1"/>
        <i x="8" s="1"/>
        <i x="7"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B1CB9C5-C787-45B1-8CC9-C9FD3A774532}" cache="Slicer_Region" caption="Region" columnCount="3" style="SlicerStyleDark1" rowHeight="234950"/>
  <slicer name="Product" xr10:uid="{6B7185F2-1DFB-4AB4-8CB6-8A4735ECDC05}" cache="Slicer_Product" caption="Product" columnCount="15"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7C4CCB4-DE38-488C-9CA1-8BCCE19E548D}" sourceName="Order_Date">
  <pivotTables>
    <pivotTable tabId="8" name="PivotTable4"/>
    <pivotTable tabId="8" name="PivotTable1"/>
    <pivotTable tabId="8" name="PivotTable2"/>
    <pivotTable tabId="8" name="PivotTable3"/>
  </pivotTables>
  <state minimalRefreshVersion="6" lastRefreshVersion="6" pivotCacheId="1141016423"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101E14E-032F-4CE2-A8B5-2AE3EABD9E69}" cache="NativeTimeline_Order_Date" caption="Date" level="2" selectionLevel="2" scrollPosition="2026-03-02T00:00:00" style="TimeSlicerStyleDark1"/>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ECD71-F1EB-4171-A9D4-F27D24A79115}">
  <dimension ref="A3:K19"/>
  <sheetViews>
    <sheetView workbookViewId="0">
      <selection activeCell="D3" sqref="D3"/>
    </sheetView>
  </sheetViews>
  <sheetFormatPr defaultRowHeight="14.4" x14ac:dyDescent="0.3"/>
  <cols>
    <col min="1" max="1" width="12.5546875" bestFit="1" customWidth="1"/>
    <col min="2" max="2" width="11.6640625" bestFit="1" customWidth="1"/>
    <col min="3" max="3" width="3" customWidth="1"/>
    <col min="4" max="4" width="12.5546875" bestFit="1" customWidth="1"/>
    <col min="5" max="5" width="11.6640625" bestFit="1" customWidth="1"/>
    <col min="6" max="6" width="3.109375" customWidth="1"/>
    <col min="7" max="7" width="12.5546875" bestFit="1" customWidth="1"/>
    <col min="8" max="8" width="11.6640625" bestFit="1" customWidth="1"/>
    <col min="10" max="10" width="12.5546875" bestFit="1" customWidth="1"/>
    <col min="11" max="11" width="14.88671875" bestFit="1" customWidth="1"/>
  </cols>
  <sheetData>
    <row r="3" spans="1:11" x14ac:dyDescent="0.3">
      <c r="A3" s="18" t="s">
        <v>1629</v>
      </c>
      <c r="B3" t="s">
        <v>1628</v>
      </c>
      <c r="D3" s="18" t="s">
        <v>1629</v>
      </c>
      <c r="E3" t="s">
        <v>1628</v>
      </c>
      <c r="G3" s="18" t="s">
        <v>1629</v>
      </c>
      <c r="H3" t="s">
        <v>1628</v>
      </c>
      <c r="J3" s="18" t="s">
        <v>1629</v>
      </c>
      <c r="K3" t="s">
        <v>1645</v>
      </c>
    </row>
    <row r="4" spans="1:11" x14ac:dyDescent="0.3">
      <c r="A4" s="19" t="s">
        <v>67</v>
      </c>
      <c r="B4" s="24">
        <v>109404204</v>
      </c>
      <c r="D4" s="25" t="s">
        <v>1633</v>
      </c>
      <c r="E4" s="24">
        <v>82676213</v>
      </c>
      <c r="G4" s="19" t="s">
        <v>89</v>
      </c>
      <c r="H4" s="24">
        <v>28417896</v>
      </c>
      <c r="J4" s="19" t="s">
        <v>89</v>
      </c>
      <c r="K4">
        <v>222</v>
      </c>
    </row>
    <row r="5" spans="1:11" x14ac:dyDescent="0.3">
      <c r="A5" s="19" t="s">
        <v>36</v>
      </c>
      <c r="B5" s="24">
        <v>211047770</v>
      </c>
      <c r="D5" s="25" t="s">
        <v>1634</v>
      </c>
      <c r="E5" s="24">
        <v>71541879</v>
      </c>
      <c r="G5" s="19" t="s">
        <v>73</v>
      </c>
      <c r="H5" s="24">
        <v>54752087</v>
      </c>
      <c r="J5" s="19" t="s">
        <v>73</v>
      </c>
      <c r="K5">
        <v>245</v>
      </c>
    </row>
    <row r="6" spans="1:11" x14ac:dyDescent="0.3">
      <c r="A6" s="19" t="s">
        <v>30</v>
      </c>
      <c r="B6" s="24">
        <v>133763378</v>
      </c>
      <c r="D6" s="25" t="s">
        <v>1635</v>
      </c>
      <c r="E6" s="24">
        <v>88941333</v>
      </c>
      <c r="G6" s="19" t="s">
        <v>58</v>
      </c>
      <c r="H6" s="24">
        <v>30740008</v>
      </c>
      <c r="J6" s="19" t="s">
        <v>58</v>
      </c>
      <c r="K6">
        <v>416</v>
      </c>
    </row>
    <row r="7" spans="1:11" x14ac:dyDescent="0.3">
      <c r="A7" s="19" t="s">
        <v>87</v>
      </c>
      <c r="B7" s="24">
        <v>114618028</v>
      </c>
      <c r="D7" s="25" t="s">
        <v>1636</v>
      </c>
      <c r="E7" s="24">
        <v>127333461</v>
      </c>
      <c r="G7" s="19" t="s">
        <v>214</v>
      </c>
      <c r="H7" s="24">
        <v>10367442</v>
      </c>
      <c r="J7" s="19" t="s">
        <v>214</v>
      </c>
      <c r="K7">
        <v>329</v>
      </c>
    </row>
    <row r="8" spans="1:11" x14ac:dyDescent="0.3">
      <c r="A8" s="19" t="s">
        <v>20</v>
      </c>
      <c r="B8" s="24">
        <v>352398695</v>
      </c>
      <c r="D8" s="25" t="s">
        <v>1637</v>
      </c>
      <c r="E8" s="24">
        <v>127332657</v>
      </c>
      <c r="G8" s="19" t="s">
        <v>49</v>
      </c>
      <c r="H8" s="24">
        <v>239937037</v>
      </c>
      <c r="J8" s="19" t="s">
        <v>49</v>
      </c>
      <c r="K8">
        <v>302</v>
      </c>
    </row>
    <row r="9" spans="1:11" x14ac:dyDescent="0.3">
      <c r="A9" s="19" t="s">
        <v>1630</v>
      </c>
      <c r="B9" s="24">
        <v>921232075</v>
      </c>
      <c r="D9" s="25" t="s">
        <v>1638</v>
      </c>
      <c r="E9" s="24">
        <v>78192422</v>
      </c>
      <c r="G9" s="19" t="s">
        <v>318</v>
      </c>
      <c r="H9" s="24">
        <v>7462358</v>
      </c>
      <c r="J9" s="19" t="s">
        <v>318</v>
      </c>
      <c r="K9">
        <v>152</v>
      </c>
    </row>
    <row r="10" spans="1:11" x14ac:dyDescent="0.3">
      <c r="D10" s="25" t="s">
        <v>1639</v>
      </c>
      <c r="E10" s="24">
        <v>100619463</v>
      </c>
      <c r="G10" s="19" t="s">
        <v>45</v>
      </c>
      <c r="H10" s="24">
        <v>99535885</v>
      </c>
      <c r="J10" s="19" t="s">
        <v>45</v>
      </c>
      <c r="K10">
        <v>266</v>
      </c>
    </row>
    <row r="11" spans="1:11" x14ac:dyDescent="0.3">
      <c r="D11" s="25" t="s">
        <v>1640</v>
      </c>
      <c r="E11" s="24">
        <v>120304793</v>
      </c>
      <c r="G11" s="19" t="s">
        <v>23</v>
      </c>
      <c r="H11" s="24">
        <v>107043764</v>
      </c>
      <c r="J11" s="19" t="s">
        <v>23</v>
      </c>
      <c r="K11">
        <v>358</v>
      </c>
    </row>
    <row r="12" spans="1:11" x14ac:dyDescent="0.3">
      <c r="A12" s="27" t="s">
        <v>1646</v>
      </c>
      <c r="B12" s="26">
        <f>GETPIVOTDATA("Sales",$A$3)</f>
        <v>921232075</v>
      </c>
      <c r="D12" s="25" t="s">
        <v>1641</v>
      </c>
      <c r="E12" s="24">
        <v>20689760</v>
      </c>
      <c r="G12" s="19" t="s">
        <v>39</v>
      </c>
      <c r="H12" s="24">
        <v>5413775</v>
      </c>
      <c r="J12" s="19" t="s">
        <v>39</v>
      </c>
      <c r="K12">
        <v>287</v>
      </c>
    </row>
    <row r="13" spans="1:11" x14ac:dyDescent="0.3">
      <c r="A13" s="27" t="s">
        <v>1627</v>
      </c>
      <c r="B13" s="15">
        <f>GETPIVOTDATA("Quantity",$J$3)</f>
        <v>3986</v>
      </c>
      <c r="D13" s="25" t="s">
        <v>1642</v>
      </c>
      <c r="E13" s="24">
        <v>30799669</v>
      </c>
      <c r="G13" s="19" t="s">
        <v>127</v>
      </c>
      <c r="H13" s="24">
        <v>62066766</v>
      </c>
      <c r="J13" s="19" t="s">
        <v>127</v>
      </c>
      <c r="K13">
        <v>313</v>
      </c>
    </row>
    <row r="14" spans="1:11" x14ac:dyDescent="0.3">
      <c r="D14" s="25" t="s">
        <v>1643</v>
      </c>
      <c r="E14" s="24">
        <v>47716219</v>
      </c>
      <c r="G14" s="19" t="s">
        <v>115</v>
      </c>
      <c r="H14" s="24">
        <v>10662110</v>
      </c>
      <c r="J14" s="19" t="s">
        <v>115</v>
      </c>
      <c r="K14">
        <v>148</v>
      </c>
    </row>
    <row r="15" spans="1:11" x14ac:dyDescent="0.3">
      <c r="D15" s="25" t="s">
        <v>1644</v>
      </c>
      <c r="E15" s="24">
        <v>25084206</v>
      </c>
      <c r="G15" s="19" t="s">
        <v>53</v>
      </c>
      <c r="H15" s="24">
        <v>78368894</v>
      </c>
      <c r="J15" s="19" t="s">
        <v>53</v>
      </c>
      <c r="K15">
        <v>271</v>
      </c>
    </row>
    <row r="16" spans="1:11" x14ac:dyDescent="0.3">
      <c r="D16" s="25" t="s">
        <v>1630</v>
      </c>
      <c r="E16" s="24">
        <v>921232075</v>
      </c>
      <c r="G16" s="19" t="s">
        <v>83</v>
      </c>
      <c r="H16" s="24">
        <v>169716675</v>
      </c>
      <c r="J16" s="19" t="s">
        <v>83</v>
      </c>
      <c r="K16">
        <v>341</v>
      </c>
    </row>
    <row r="17" spans="7:11" x14ac:dyDescent="0.3">
      <c r="G17" s="19" t="s">
        <v>79</v>
      </c>
      <c r="H17" s="24">
        <v>3890108</v>
      </c>
      <c r="J17" s="19" t="s">
        <v>79</v>
      </c>
      <c r="K17">
        <v>163</v>
      </c>
    </row>
    <row r="18" spans="7:11" x14ac:dyDescent="0.3">
      <c r="G18" s="19" t="s">
        <v>188</v>
      </c>
      <c r="H18" s="24">
        <v>12857270</v>
      </c>
      <c r="J18" s="19" t="s">
        <v>188</v>
      </c>
      <c r="K18">
        <v>173</v>
      </c>
    </row>
    <row r="19" spans="7:11" x14ac:dyDescent="0.3">
      <c r="G19" s="19" t="s">
        <v>1630</v>
      </c>
      <c r="H19" s="24">
        <v>921232075</v>
      </c>
      <c r="J19" s="19" t="s">
        <v>1630</v>
      </c>
      <c r="K19">
        <v>3986</v>
      </c>
    </row>
  </sheetData>
  <pageMargins left="0.7" right="0.7" top="0.75" bottom="0.75" header="0.3" footer="0.3"/>
  <pageSetup orientation="portrait" horizontalDpi="1200" verticalDpi="1200"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FB5D5-FEB6-4C01-8C88-E640267CC07E}">
  <dimension ref="A1"/>
  <sheetViews>
    <sheetView showGridLines="0" tabSelected="1" zoomScale="98" zoomScaleNormal="98" workbookViewId="0">
      <selection activeCell="F35" sqref="F35"/>
    </sheetView>
  </sheetViews>
  <sheetFormatPr defaultRowHeight="14.4" x14ac:dyDescent="0.3"/>
  <sheetData>
    <row r="1" spans="1:1" x14ac:dyDescent="0.3">
      <c r="A1" s="2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1"/>
  <sheetViews>
    <sheetView zoomScaleNormal="100" workbookViewId="0">
      <pane ySplit="1" topLeftCell="A60" activePane="bottomLeft" state="frozen"/>
      <selection pane="bottomLeft"/>
    </sheetView>
  </sheetViews>
  <sheetFormatPr defaultRowHeight="14.4" x14ac:dyDescent="0.3"/>
  <cols>
    <col min="1" max="1" width="13" customWidth="1"/>
    <col min="2" max="2" width="15.109375" customWidth="1"/>
    <col min="3" max="3" width="16.33203125" customWidth="1"/>
    <col min="4" max="4" width="19.6640625" customWidth="1"/>
    <col min="5" max="5" width="11.21875" bestFit="1" customWidth="1"/>
    <col min="6" max="6" width="12.44140625" bestFit="1" customWidth="1"/>
    <col min="7" max="7" width="20.77734375" customWidth="1"/>
    <col min="8" max="8" width="12.5546875" customWidth="1"/>
    <col min="9" max="9" width="12.77734375" customWidth="1"/>
    <col min="10" max="10" width="14.109375" customWidth="1"/>
    <col min="11" max="11" width="12.77734375" customWidth="1"/>
    <col min="12" max="12" width="12.109375" bestFit="1" customWidth="1"/>
    <col min="13" max="13" width="9.109375" customWidth="1"/>
    <col min="14" max="14" width="10.109375" customWidth="1"/>
    <col min="15" max="15" width="20.88671875" customWidth="1"/>
    <col min="16" max="16" width="15.44140625" bestFit="1" customWidth="1"/>
    <col min="17" max="17" width="16.44140625" customWidth="1"/>
  </cols>
  <sheetData>
    <row r="1" spans="1:17"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row>
    <row r="2" spans="1:17" x14ac:dyDescent="0.3">
      <c r="A2" s="6" t="s">
        <v>17</v>
      </c>
      <c r="B2" s="7">
        <v>45658</v>
      </c>
      <c r="C2" s="6" t="s">
        <v>18</v>
      </c>
      <c r="D2" s="6" t="s">
        <v>19</v>
      </c>
      <c r="E2" s="6" t="s">
        <v>20</v>
      </c>
      <c r="F2" s="6" t="s">
        <v>21</v>
      </c>
      <c r="G2" s="6" t="s">
        <v>22</v>
      </c>
      <c r="H2" s="6" t="s">
        <v>23</v>
      </c>
      <c r="I2" s="6">
        <v>5</v>
      </c>
      <c r="J2" s="8">
        <v>393300</v>
      </c>
      <c r="K2" s="9">
        <v>0.05</v>
      </c>
      <c r="L2" s="10">
        <v>1868175</v>
      </c>
      <c r="M2" s="6">
        <v>1500000</v>
      </c>
      <c r="N2" s="6">
        <v>368175</v>
      </c>
      <c r="O2" s="6" t="s">
        <v>24</v>
      </c>
      <c r="P2" s="6" t="s">
        <v>25</v>
      </c>
      <c r="Q2" s="6" t="s">
        <v>26</v>
      </c>
    </row>
    <row r="3" spans="1:17" x14ac:dyDescent="0.3">
      <c r="A3" s="6" t="s">
        <v>27</v>
      </c>
      <c r="B3" s="7">
        <v>45658</v>
      </c>
      <c r="C3" s="6" t="s">
        <v>28</v>
      </c>
      <c r="D3" s="6" t="s">
        <v>29</v>
      </c>
      <c r="E3" s="6" t="s">
        <v>30</v>
      </c>
      <c r="F3" s="6" t="s">
        <v>30</v>
      </c>
      <c r="G3" s="6" t="s">
        <v>22</v>
      </c>
      <c r="H3" s="6" t="s">
        <v>23</v>
      </c>
      <c r="I3" s="6">
        <v>2</v>
      </c>
      <c r="J3" s="8">
        <v>401700</v>
      </c>
      <c r="K3" s="9">
        <v>0.05</v>
      </c>
      <c r="L3" s="10">
        <v>763230</v>
      </c>
      <c r="M3" s="6">
        <v>600000</v>
      </c>
      <c r="N3" s="6">
        <v>163230</v>
      </c>
      <c r="O3" s="6" t="s">
        <v>31</v>
      </c>
      <c r="P3" s="6" t="s">
        <v>32</v>
      </c>
      <c r="Q3" s="6" t="s">
        <v>26</v>
      </c>
    </row>
    <row r="4" spans="1:17" x14ac:dyDescent="0.3">
      <c r="A4" s="6" t="s">
        <v>33</v>
      </c>
      <c r="B4" s="7">
        <v>45658</v>
      </c>
      <c r="C4" s="6" t="s">
        <v>34</v>
      </c>
      <c r="D4" s="6" t="s">
        <v>35</v>
      </c>
      <c r="E4" s="6" t="s">
        <v>36</v>
      </c>
      <c r="F4" s="6" t="s">
        <v>37</v>
      </c>
      <c r="G4" s="6" t="s">
        <v>38</v>
      </c>
      <c r="H4" s="6" t="s">
        <v>39</v>
      </c>
      <c r="I4" s="6">
        <v>2</v>
      </c>
      <c r="J4" s="8">
        <v>28400</v>
      </c>
      <c r="K4" s="9">
        <v>0.08</v>
      </c>
      <c r="L4" s="10">
        <v>52256</v>
      </c>
      <c r="M4" s="6">
        <v>30000</v>
      </c>
      <c r="N4" s="6">
        <v>22256</v>
      </c>
      <c r="O4" s="6" t="s">
        <v>40</v>
      </c>
      <c r="P4" s="6" t="s">
        <v>25</v>
      </c>
      <c r="Q4" s="6" t="s">
        <v>26</v>
      </c>
    </row>
    <row r="5" spans="1:17" x14ac:dyDescent="0.3">
      <c r="A5" s="6" t="s">
        <v>41</v>
      </c>
      <c r="B5" s="7">
        <v>45658</v>
      </c>
      <c r="C5" s="6" t="s">
        <v>42</v>
      </c>
      <c r="D5" s="6" t="s">
        <v>43</v>
      </c>
      <c r="E5" s="6" t="s">
        <v>36</v>
      </c>
      <c r="F5" s="6" t="s">
        <v>36</v>
      </c>
      <c r="G5" s="6" t="s">
        <v>44</v>
      </c>
      <c r="H5" s="6" t="s">
        <v>45</v>
      </c>
      <c r="I5" s="6">
        <v>5</v>
      </c>
      <c r="J5" s="8">
        <v>487900</v>
      </c>
      <c r="K5" s="9">
        <v>0.05</v>
      </c>
      <c r="L5" s="10">
        <v>2317525</v>
      </c>
      <c r="M5" s="6">
        <v>1825000</v>
      </c>
      <c r="N5" s="6">
        <v>492525</v>
      </c>
      <c r="O5" s="6" t="s">
        <v>24</v>
      </c>
      <c r="P5" s="6" t="s">
        <v>32</v>
      </c>
      <c r="Q5" s="6" t="s">
        <v>26</v>
      </c>
    </row>
    <row r="6" spans="1:17" x14ac:dyDescent="0.3">
      <c r="A6" s="6" t="s">
        <v>46</v>
      </c>
      <c r="B6" s="7">
        <v>45659</v>
      </c>
      <c r="C6" s="6" t="s">
        <v>47</v>
      </c>
      <c r="D6" s="6" t="s">
        <v>48</v>
      </c>
      <c r="E6" s="6" t="s">
        <v>20</v>
      </c>
      <c r="F6" s="6" t="s">
        <v>20</v>
      </c>
      <c r="G6" s="6" t="s">
        <v>22</v>
      </c>
      <c r="H6" s="6" t="s">
        <v>49</v>
      </c>
      <c r="I6" s="6">
        <v>6</v>
      </c>
      <c r="J6" s="8">
        <v>1169500</v>
      </c>
      <c r="K6" s="9">
        <v>0.05</v>
      </c>
      <c r="L6" s="10">
        <v>6666150</v>
      </c>
      <c r="M6" s="6">
        <v>5700000</v>
      </c>
      <c r="N6" s="6">
        <v>966150</v>
      </c>
      <c r="O6" s="6" t="s">
        <v>40</v>
      </c>
      <c r="P6" s="6" t="s">
        <v>25</v>
      </c>
      <c r="Q6" s="6" t="s">
        <v>26</v>
      </c>
    </row>
    <row r="7" spans="1:17" x14ac:dyDescent="0.3">
      <c r="A7" s="6" t="s">
        <v>50</v>
      </c>
      <c r="B7" s="7">
        <v>45660</v>
      </c>
      <c r="C7" s="6" t="s">
        <v>51</v>
      </c>
      <c r="D7" s="6" t="s">
        <v>52</v>
      </c>
      <c r="E7" s="6" t="s">
        <v>36</v>
      </c>
      <c r="F7" s="6" t="s">
        <v>37</v>
      </c>
      <c r="G7" s="6" t="s">
        <v>38</v>
      </c>
      <c r="H7" s="6" t="s">
        <v>53</v>
      </c>
      <c r="I7" s="6">
        <v>5</v>
      </c>
      <c r="J7" s="8">
        <v>370300</v>
      </c>
      <c r="K7" s="9">
        <v>0.02</v>
      </c>
      <c r="L7" s="10">
        <v>1814470</v>
      </c>
      <c r="M7" s="6">
        <v>1400000</v>
      </c>
      <c r="N7" s="6">
        <v>414470</v>
      </c>
      <c r="O7" s="6" t="s">
        <v>31</v>
      </c>
      <c r="P7" s="6" t="s">
        <v>54</v>
      </c>
      <c r="Q7" s="6" t="s">
        <v>26</v>
      </c>
    </row>
    <row r="8" spans="1:17" x14ac:dyDescent="0.3">
      <c r="A8" s="6" t="s">
        <v>55</v>
      </c>
      <c r="B8" s="7">
        <v>45662</v>
      </c>
      <c r="C8" s="6" t="s">
        <v>56</v>
      </c>
      <c r="D8" s="6" t="s">
        <v>57</v>
      </c>
      <c r="E8" s="6" t="s">
        <v>20</v>
      </c>
      <c r="F8" s="6" t="s">
        <v>21</v>
      </c>
      <c r="G8" s="6" t="s">
        <v>22</v>
      </c>
      <c r="H8" s="6" t="s">
        <v>58</v>
      </c>
      <c r="I8" s="6">
        <v>2</v>
      </c>
      <c r="J8" s="8">
        <v>102200</v>
      </c>
      <c r="K8" s="9">
        <v>0.05</v>
      </c>
      <c r="L8" s="10">
        <v>194180</v>
      </c>
      <c r="M8" s="6">
        <v>110000</v>
      </c>
      <c r="N8" s="6">
        <v>84180</v>
      </c>
      <c r="O8" s="6" t="s">
        <v>31</v>
      </c>
      <c r="P8" s="6" t="s">
        <v>32</v>
      </c>
      <c r="Q8" s="6" t="s">
        <v>26</v>
      </c>
    </row>
    <row r="9" spans="1:17" x14ac:dyDescent="0.3">
      <c r="A9" s="6" t="s">
        <v>59</v>
      </c>
      <c r="B9" s="7">
        <v>45663</v>
      </c>
      <c r="C9" s="6" t="s">
        <v>60</v>
      </c>
      <c r="D9" s="6" t="s">
        <v>61</v>
      </c>
      <c r="E9" s="6" t="s">
        <v>20</v>
      </c>
      <c r="F9" s="6" t="s">
        <v>62</v>
      </c>
      <c r="G9" s="6" t="s">
        <v>44</v>
      </c>
      <c r="H9" s="6" t="s">
        <v>45</v>
      </c>
      <c r="I9" s="6">
        <v>1</v>
      </c>
      <c r="J9" s="8">
        <v>537800</v>
      </c>
      <c r="K9" s="9">
        <v>0</v>
      </c>
      <c r="L9" s="10">
        <v>537800</v>
      </c>
      <c r="M9" s="6">
        <v>365000</v>
      </c>
      <c r="N9" s="6">
        <v>172800</v>
      </c>
      <c r="O9" s="6" t="s">
        <v>31</v>
      </c>
      <c r="P9" s="6" t="s">
        <v>63</v>
      </c>
      <c r="Q9" s="6" t="s">
        <v>26</v>
      </c>
    </row>
    <row r="10" spans="1:17" x14ac:dyDescent="0.3">
      <c r="A10" s="6" t="s">
        <v>64</v>
      </c>
      <c r="B10" s="7">
        <v>45664</v>
      </c>
      <c r="C10" s="6" t="s">
        <v>65</v>
      </c>
      <c r="D10" s="6" t="s">
        <v>66</v>
      </c>
      <c r="E10" s="6" t="s">
        <v>67</v>
      </c>
      <c r="F10" s="6" t="s">
        <v>67</v>
      </c>
      <c r="G10" s="6" t="s">
        <v>22</v>
      </c>
      <c r="H10" s="6" t="s">
        <v>23</v>
      </c>
      <c r="I10" s="6">
        <v>2</v>
      </c>
      <c r="J10" s="8">
        <v>447300</v>
      </c>
      <c r="K10" s="9">
        <v>0</v>
      </c>
      <c r="L10" s="10">
        <v>0</v>
      </c>
      <c r="M10" s="6">
        <v>0</v>
      </c>
      <c r="N10" s="6">
        <v>0</v>
      </c>
      <c r="O10" s="6" t="s">
        <v>68</v>
      </c>
      <c r="P10" s="6" t="s">
        <v>54</v>
      </c>
      <c r="Q10" s="6" t="s">
        <v>69</v>
      </c>
    </row>
    <row r="11" spans="1:17" x14ac:dyDescent="0.3">
      <c r="A11" s="6" t="s">
        <v>70</v>
      </c>
      <c r="B11" s="7">
        <v>45667</v>
      </c>
      <c r="C11" s="6" t="s">
        <v>71</v>
      </c>
      <c r="D11" s="6" t="s">
        <v>72</v>
      </c>
      <c r="E11" s="6" t="s">
        <v>20</v>
      </c>
      <c r="F11" s="6" t="s">
        <v>20</v>
      </c>
      <c r="G11" s="6" t="s">
        <v>44</v>
      </c>
      <c r="H11" s="6" t="s">
        <v>73</v>
      </c>
      <c r="I11" s="6">
        <v>2</v>
      </c>
      <c r="J11" s="8">
        <v>297900</v>
      </c>
      <c r="K11" s="9">
        <v>0.02</v>
      </c>
      <c r="L11" s="10">
        <v>583884</v>
      </c>
      <c r="M11" s="6">
        <v>420000</v>
      </c>
      <c r="N11" s="6">
        <v>163884</v>
      </c>
      <c r="O11" s="6" t="s">
        <v>24</v>
      </c>
      <c r="P11" s="6" t="s">
        <v>74</v>
      </c>
      <c r="Q11" s="6" t="s">
        <v>26</v>
      </c>
    </row>
    <row r="12" spans="1:17" x14ac:dyDescent="0.3">
      <c r="A12" s="6" t="s">
        <v>75</v>
      </c>
      <c r="B12" s="7">
        <v>45667</v>
      </c>
      <c r="C12" s="6" t="s">
        <v>76</v>
      </c>
      <c r="D12" s="6" t="s">
        <v>77</v>
      </c>
      <c r="E12" s="6" t="s">
        <v>36</v>
      </c>
      <c r="F12" s="6" t="s">
        <v>37</v>
      </c>
      <c r="G12" s="6" t="s">
        <v>78</v>
      </c>
      <c r="H12" s="6" t="s">
        <v>79</v>
      </c>
      <c r="I12" s="6">
        <v>2</v>
      </c>
      <c r="J12" s="8">
        <v>29900</v>
      </c>
      <c r="K12" s="9">
        <v>0</v>
      </c>
      <c r="L12" s="10">
        <v>59800</v>
      </c>
      <c r="M12" s="6">
        <v>36000</v>
      </c>
      <c r="N12" s="6">
        <v>23800</v>
      </c>
      <c r="O12" s="6" t="s">
        <v>40</v>
      </c>
      <c r="P12" s="6" t="s">
        <v>74</v>
      </c>
      <c r="Q12" s="6" t="s">
        <v>26</v>
      </c>
    </row>
    <row r="13" spans="1:17" x14ac:dyDescent="0.3">
      <c r="A13" s="6" t="s">
        <v>80</v>
      </c>
      <c r="B13" s="7">
        <v>45668</v>
      </c>
      <c r="C13" s="6" t="s">
        <v>81</v>
      </c>
      <c r="D13" s="6" t="s">
        <v>82</v>
      </c>
      <c r="E13" s="6" t="s">
        <v>36</v>
      </c>
      <c r="F13" s="6" t="s">
        <v>37</v>
      </c>
      <c r="G13" s="6" t="s">
        <v>22</v>
      </c>
      <c r="H13" s="6" t="s">
        <v>83</v>
      </c>
      <c r="I13" s="6">
        <v>2</v>
      </c>
      <c r="J13" s="8">
        <v>650600</v>
      </c>
      <c r="K13" s="9">
        <v>0</v>
      </c>
      <c r="L13" s="10">
        <v>1301200</v>
      </c>
      <c r="M13" s="6">
        <v>940000</v>
      </c>
      <c r="N13" s="6">
        <v>361200</v>
      </c>
      <c r="O13" s="6" t="s">
        <v>24</v>
      </c>
      <c r="P13" s="6" t="s">
        <v>74</v>
      </c>
      <c r="Q13" s="6" t="s">
        <v>26</v>
      </c>
    </row>
    <row r="14" spans="1:17" x14ac:dyDescent="0.3">
      <c r="A14" s="6" t="s">
        <v>84</v>
      </c>
      <c r="B14" s="7">
        <v>45669</v>
      </c>
      <c r="C14" s="6" t="s">
        <v>85</v>
      </c>
      <c r="D14" s="6" t="s">
        <v>86</v>
      </c>
      <c r="E14" s="6" t="s">
        <v>87</v>
      </c>
      <c r="F14" s="6" t="s">
        <v>88</v>
      </c>
      <c r="G14" s="6" t="s">
        <v>44</v>
      </c>
      <c r="H14" s="6" t="s">
        <v>89</v>
      </c>
      <c r="I14" s="6">
        <v>1</v>
      </c>
      <c r="J14" s="8">
        <v>170400</v>
      </c>
      <c r="K14" s="9">
        <v>0</v>
      </c>
      <c r="L14" s="10">
        <v>170400</v>
      </c>
      <c r="M14" s="6">
        <v>115000</v>
      </c>
      <c r="N14" s="6">
        <v>55400</v>
      </c>
      <c r="O14" s="6" t="s">
        <v>31</v>
      </c>
      <c r="P14" s="6" t="s">
        <v>90</v>
      </c>
      <c r="Q14" s="6" t="s">
        <v>26</v>
      </c>
    </row>
    <row r="15" spans="1:17" x14ac:dyDescent="0.3">
      <c r="A15" s="6" t="s">
        <v>91</v>
      </c>
      <c r="B15" s="7">
        <v>45669</v>
      </c>
      <c r="C15" s="6" t="s">
        <v>92</v>
      </c>
      <c r="D15" s="6" t="s">
        <v>93</v>
      </c>
      <c r="E15" s="6" t="s">
        <v>20</v>
      </c>
      <c r="F15" s="6" t="s">
        <v>21</v>
      </c>
      <c r="G15" s="6" t="s">
        <v>44</v>
      </c>
      <c r="H15" s="6" t="s">
        <v>73</v>
      </c>
      <c r="I15" s="6">
        <v>1</v>
      </c>
      <c r="J15" s="8">
        <v>310000</v>
      </c>
      <c r="K15" s="9">
        <v>0</v>
      </c>
      <c r="L15" s="10">
        <v>310000</v>
      </c>
      <c r="M15" s="6">
        <v>210000</v>
      </c>
      <c r="N15" s="6">
        <v>100000</v>
      </c>
      <c r="O15" s="6" t="s">
        <v>40</v>
      </c>
      <c r="P15" s="6" t="s">
        <v>63</v>
      </c>
      <c r="Q15" s="6" t="s">
        <v>26</v>
      </c>
    </row>
    <row r="16" spans="1:17" x14ac:dyDescent="0.3">
      <c r="A16" s="6" t="s">
        <v>94</v>
      </c>
      <c r="B16" s="7">
        <v>45669</v>
      </c>
      <c r="C16" s="6" t="s">
        <v>95</v>
      </c>
      <c r="D16" s="6" t="s">
        <v>96</v>
      </c>
      <c r="E16" s="6" t="s">
        <v>20</v>
      </c>
      <c r="F16" s="6" t="s">
        <v>62</v>
      </c>
      <c r="G16" s="6" t="s">
        <v>22</v>
      </c>
      <c r="H16" s="6" t="s">
        <v>83</v>
      </c>
      <c r="I16" s="6">
        <v>1</v>
      </c>
      <c r="J16" s="8">
        <v>624900</v>
      </c>
      <c r="K16" s="9">
        <v>0</v>
      </c>
      <c r="L16" s="10">
        <v>624900</v>
      </c>
      <c r="M16" s="6">
        <v>470000</v>
      </c>
      <c r="N16" s="6">
        <v>154900</v>
      </c>
      <c r="O16" s="6" t="s">
        <v>40</v>
      </c>
      <c r="P16" s="6" t="s">
        <v>54</v>
      </c>
      <c r="Q16" s="6" t="s">
        <v>26</v>
      </c>
    </row>
    <row r="17" spans="1:17" x14ac:dyDescent="0.3">
      <c r="A17" s="6" t="s">
        <v>97</v>
      </c>
      <c r="B17" s="7">
        <v>45670</v>
      </c>
      <c r="C17" s="6" t="s">
        <v>98</v>
      </c>
      <c r="D17" s="6" t="s">
        <v>99</v>
      </c>
      <c r="E17" s="6" t="s">
        <v>67</v>
      </c>
      <c r="F17" s="6" t="s">
        <v>100</v>
      </c>
      <c r="G17" s="6" t="s">
        <v>38</v>
      </c>
      <c r="H17" s="6" t="s">
        <v>39</v>
      </c>
      <c r="I17" s="6">
        <v>2</v>
      </c>
      <c r="J17" s="8">
        <v>26200</v>
      </c>
      <c r="K17" s="9">
        <v>0.05</v>
      </c>
      <c r="L17" s="10">
        <v>0</v>
      </c>
      <c r="M17" s="6">
        <v>0</v>
      </c>
      <c r="N17" s="6">
        <v>0</v>
      </c>
      <c r="O17" s="6" t="s">
        <v>68</v>
      </c>
      <c r="P17" s="6" t="s">
        <v>54</v>
      </c>
      <c r="Q17" s="6" t="s">
        <v>69</v>
      </c>
    </row>
    <row r="18" spans="1:17" x14ac:dyDescent="0.3">
      <c r="A18" s="6" t="s">
        <v>101</v>
      </c>
      <c r="B18" s="7">
        <v>45670</v>
      </c>
      <c r="C18" s="6" t="s">
        <v>102</v>
      </c>
      <c r="D18" s="6" t="s">
        <v>103</v>
      </c>
      <c r="E18" s="6" t="s">
        <v>20</v>
      </c>
      <c r="F18" s="6" t="s">
        <v>21</v>
      </c>
      <c r="G18" s="6" t="s">
        <v>22</v>
      </c>
      <c r="H18" s="6" t="s">
        <v>49</v>
      </c>
      <c r="I18" s="6">
        <v>3</v>
      </c>
      <c r="J18" s="8">
        <v>1285100</v>
      </c>
      <c r="K18" s="9">
        <v>0.05</v>
      </c>
      <c r="L18" s="10">
        <v>-3662535</v>
      </c>
      <c r="M18" s="6">
        <v>-2850000</v>
      </c>
      <c r="N18" s="6">
        <v>-812535</v>
      </c>
      <c r="O18" s="6" t="s">
        <v>104</v>
      </c>
      <c r="P18" s="6" t="s">
        <v>25</v>
      </c>
      <c r="Q18" s="6" t="s">
        <v>105</v>
      </c>
    </row>
    <row r="19" spans="1:17" x14ac:dyDescent="0.3">
      <c r="A19" s="6" t="s">
        <v>106</v>
      </c>
      <c r="B19" s="7">
        <v>45670</v>
      </c>
      <c r="C19" s="6" t="s">
        <v>107</v>
      </c>
      <c r="D19" s="6" t="s">
        <v>108</v>
      </c>
      <c r="E19" s="6" t="s">
        <v>36</v>
      </c>
      <c r="F19" s="6" t="s">
        <v>37</v>
      </c>
      <c r="G19" s="6" t="s">
        <v>44</v>
      </c>
      <c r="H19" s="6" t="s">
        <v>89</v>
      </c>
      <c r="I19" s="6">
        <v>6</v>
      </c>
      <c r="J19" s="8">
        <v>189600</v>
      </c>
      <c r="K19" s="9">
        <v>0</v>
      </c>
      <c r="L19" s="10">
        <v>1137600</v>
      </c>
      <c r="M19" s="6">
        <v>690000</v>
      </c>
      <c r="N19" s="6">
        <v>447600</v>
      </c>
      <c r="O19" s="6" t="s">
        <v>31</v>
      </c>
      <c r="P19" s="6" t="s">
        <v>54</v>
      </c>
      <c r="Q19" s="6" t="s">
        <v>26</v>
      </c>
    </row>
    <row r="20" spans="1:17" x14ac:dyDescent="0.3">
      <c r="A20" s="6" t="s">
        <v>109</v>
      </c>
      <c r="B20" s="7">
        <v>45670</v>
      </c>
      <c r="C20" s="6" t="s">
        <v>110</v>
      </c>
      <c r="D20" s="6" t="s">
        <v>111</v>
      </c>
      <c r="E20" s="6" t="s">
        <v>20</v>
      </c>
      <c r="F20" s="6" t="s">
        <v>62</v>
      </c>
      <c r="G20" s="6" t="s">
        <v>22</v>
      </c>
      <c r="H20" s="6" t="s">
        <v>23</v>
      </c>
      <c r="I20" s="6">
        <v>3</v>
      </c>
      <c r="J20" s="8">
        <v>421200</v>
      </c>
      <c r="K20" s="9">
        <v>0</v>
      </c>
      <c r="L20" s="10">
        <v>1263600</v>
      </c>
      <c r="M20" s="6">
        <v>900000</v>
      </c>
      <c r="N20" s="6">
        <v>363600</v>
      </c>
      <c r="O20" s="6" t="s">
        <v>31</v>
      </c>
      <c r="P20" s="6" t="s">
        <v>74</v>
      </c>
      <c r="Q20" s="6" t="s">
        <v>26</v>
      </c>
    </row>
    <row r="21" spans="1:17" x14ac:dyDescent="0.3">
      <c r="A21" s="6" t="s">
        <v>112</v>
      </c>
      <c r="B21" s="7">
        <v>45671</v>
      </c>
      <c r="C21" s="6" t="s">
        <v>113</v>
      </c>
      <c r="D21" s="6" t="s">
        <v>114</v>
      </c>
      <c r="E21" s="6" t="s">
        <v>20</v>
      </c>
      <c r="F21" s="6" t="s">
        <v>21</v>
      </c>
      <c r="G21" s="6" t="s">
        <v>78</v>
      </c>
      <c r="H21" s="6" t="s">
        <v>115</v>
      </c>
      <c r="I21" s="6">
        <v>2</v>
      </c>
      <c r="J21" s="8">
        <v>88100</v>
      </c>
      <c r="K21" s="9">
        <v>0.08</v>
      </c>
      <c r="L21" s="10">
        <v>162104</v>
      </c>
      <c r="M21" s="6">
        <v>116000</v>
      </c>
      <c r="N21" s="6">
        <v>46104</v>
      </c>
      <c r="O21" s="6" t="s">
        <v>40</v>
      </c>
      <c r="P21" s="6" t="s">
        <v>74</v>
      </c>
      <c r="Q21" s="6" t="s">
        <v>26</v>
      </c>
    </row>
    <row r="22" spans="1:17" x14ac:dyDescent="0.3">
      <c r="A22" s="6" t="s">
        <v>116</v>
      </c>
      <c r="B22" s="7">
        <v>45672</v>
      </c>
      <c r="C22" s="6" t="s">
        <v>117</v>
      </c>
      <c r="D22" s="6" t="s">
        <v>118</v>
      </c>
      <c r="E22" s="6" t="s">
        <v>20</v>
      </c>
      <c r="F22" s="6" t="s">
        <v>21</v>
      </c>
      <c r="G22" s="6" t="s">
        <v>44</v>
      </c>
      <c r="H22" s="6" t="s">
        <v>73</v>
      </c>
      <c r="I22" s="6">
        <v>6</v>
      </c>
      <c r="J22" s="8">
        <v>298800</v>
      </c>
      <c r="K22" s="9">
        <v>0.08</v>
      </c>
      <c r="L22" s="10">
        <v>1649376</v>
      </c>
      <c r="M22" s="6">
        <v>1260000</v>
      </c>
      <c r="N22" s="6">
        <v>389376</v>
      </c>
      <c r="O22" s="6" t="s">
        <v>68</v>
      </c>
      <c r="P22" s="6" t="s">
        <v>119</v>
      </c>
      <c r="Q22" s="6" t="s">
        <v>26</v>
      </c>
    </row>
    <row r="23" spans="1:17" x14ac:dyDescent="0.3">
      <c r="A23" s="6" t="s">
        <v>120</v>
      </c>
      <c r="B23" s="7">
        <v>45672</v>
      </c>
      <c r="C23" s="6" t="s">
        <v>121</v>
      </c>
      <c r="D23" s="6" t="s">
        <v>122</v>
      </c>
      <c r="E23" s="6" t="s">
        <v>20</v>
      </c>
      <c r="F23" s="6" t="s">
        <v>123</v>
      </c>
      <c r="G23" s="6" t="s">
        <v>44</v>
      </c>
      <c r="H23" s="6" t="s">
        <v>45</v>
      </c>
      <c r="I23" s="6">
        <v>5</v>
      </c>
      <c r="J23" s="8">
        <v>479900</v>
      </c>
      <c r="K23" s="9">
        <v>0.15</v>
      </c>
      <c r="L23" s="10">
        <v>2039575</v>
      </c>
      <c r="M23" s="6">
        <v>1825000</v>
      </c>
      <c r="N23" s="6">
        <v>214575</v>
      </c>
      <c r="O23" s="6" t="s">
        <v>31</v>
      </c>
      <c r="P23" s="6" t="s">
        <v>90</v>
      </c>
      <c r="Q23" s="6" t="s">
        <v>26</v>
      </c>
    </row>
    <row r="24" spans="1:17" x14ac:dyDescent="0.3">
      <c r="A24" s="6" t="s">
        <v>124</v>
      </c>
      <c r="B24" s="7">
        <v>45673</v>
      </c>
      <c r="C24" s="6" t="s">
        <v>125</v>
      </c>
      <c r="D24" s="6" t="s">
        <v>126</v>
      </c>
      <c r="E24" s="6" t="s">
        <v>20</v>
      </c>
      <c r="F24" s="6" t="s">
        <v>20</v>
      </c>
      <c r="G24" s="6" t="s">
        <v>38</v>
      </c>
      <c r="H24" s="6" t="s">
        <v>127</v>
      </c>
      <c r="I24" s="6">
        <v>1</v>
      </c>
      <c r="J24" s="8">
        <v>225800</v>
      </c>
      <c r="K24" s="9">
        <v>0</v>
      </c>
      <c r="L24" s="10">
        <v>225800</v>
      </c>
      <c r="M24" s="6">
        <v>165000</v>
      </c>
      <c r="N24" s="6">
        <v>60800</v>
      </c>
      <c r="O24" s="6" t="s">
        <v>68</v>
      </c>
      <c r="P24" s="6" t="s">
        <v>74</v>
      </c>
      <c r="Q24" s="6" t="s">
        <v>26</v>
      </c>
    </row>
    <row r="25" spans="1:17" x14ac:dyDescent="0.3">
      <c r="A25" s="6" t="s">
        <v>128</v>
      </c>
      <c r="B25" s="7">
        <v>45673</v>
      </c>
      <c r="C25" s="6" t="s">
        <v>129</v>
      </c>
      <c r="D25" s="6" t="s">
        <v>130</v>
      </c>
      <c r="E25" s="6" t="s">
        <v>87</v>
      </c>
      <c r="F25" s="6" t="s">
        <v>131</v>
      </c>
      <c r="G25" s="6" t="s">
        <v>78</v>
      </c>
      <c r="H25" s="6" t="s">
        <v>79</v>
      </c>
      <c r="I25" s="6">
        <v>6</v>
      </c>
      <c r="J25" s="8">
        <v>32700</v>
      </c>
      <c r="K25" s="9">
        <v>0</v>
      </c>
      <c r="L25" s="10">
        <v>-196200</v>
      </c>
      <c r="M25" s="6">
        <v>-108000</v>
      </c>
      <c r="N25" s="6">
        <v>-88200</v>
      </c>
      <c r="O25" s="6" t="s">
        <v>104</v>
      </c>
      <c r="P25" s="6" t="s">
        <v>32</v>
      </c>
      <c r="Q25" s="6" t="s">
        <v>105</v>
      </c>
    </row>
    <row r="26" spans="1:17" x14ac:dyDescent="0.3">
      <c r="A26" s="6" t="s">
        <v>132</v>
      </c>
      <c r="B26" s="7">
        <v>45674</v>
      </c>
      <c r="C26" s="6" t="s">
        <v>133</v>
      </c>
      <c r="D26" s="6" t="s">
        <v>134</v>
      </c>
      <c r="E26" s="6" t="s">
        <v>87</v>
      </c>
      <c r="F26" s="6" t="s">
        <v>135</v>
      </c>
      <c r="G26" s="6" t="s">
        <v>38</v>
      </c>
      <c r="H26" s="6" t="s">
        <v>127</v>
      </c>
      <c r="I26" s="6">
        <v>6</v>
      </c>
      <c r="J26" s="8">
        <v>257600</v>
      </c>
      <c r="K26" s="9">
        <v>0.08</v>
      </c>
      <c r="L26" s="10">
        <v>1421952</v>
      </c>
      <c r="M26" s="6">
        <v>990000</v>
      </c>
      <c r="N26" s="6">
        <v>431952</v>
      </c>
      <c r="O26" s="6" t="s">
        <v>40</v>
      </c>
      <c r="P26" s="6" t="s">
        <v>119</v>
      </c>
      <c r="Q26" s="6" t="s">
        <v>26</v>
      </c>
    </row>
    <row r="27" spans="1:17" x14ac:dyDescent="0.3">
      <c r="A27" s="6" t="s">
        <v>136</v>
      </c>
      <c r="B27" s="7">
        <v>45674</v>
      </c>
      <c r="C27" s="6" t="s">
        <v>137</v>
      </c>
      <c r="D27" s="6" t="s">
        <v>138</v>
      </c>
      <c r="E27" s="6" t="s">
        <v>20</v>
      </c>
      <c r="F27" s="6" t="s">
        <v>21</v>
      </c>
      <c r="G27" s="6" t="s">
        <v>38</v>
      </c>
      <c r="H27" s="6" t="s">
        <v>127</v>
      </c>
      <c r="I27" s="6">
        <v>3</v>
      </c>
      <c r="J27" s="8">
        <v>249000</v>
      </c>
      <c r="K27" s="9">
        <v>0.15</v>
      </c>
      <c r="L27" s="10">
        <v>634950</v>
      </c>
      <c r="M27" s="6">
        <v>495000</v>
      </c>
      <c r="N27" s="6">
        <v>139950</v>
      </c>
      <c r="O27" s="6" t="s">
        <v>104</v>
      </c>
      <c r="P27" s="6" t="s">
        <v>90</v>
      </c>
      <c r="Q27" s="6" t="s">
        <v>26</v>
      </c>
    </row>
    <row r="28" spans="1:17" x14ac:dyDescent="0.3">
      <c r="A28" s="6" t="s">
        <v>139</v>
      </c>
      <c r="B28" s="7">
        <v>45675</v>
      </c>
      <c r="C28" s="6" t="s">
        <v>140</v>
      </c>
      <c r="D28" s="6" t="s">
        <v>141</v>
      </c>
      <c r="E28" s="6" t="s">
        <v>20</v>
      </c>
      <c r="F28" s="6" t="s">
        <v>123</v>
      </c>
      <c r="G28" s="6" t="s">
        <v>38</v>
      </c>
      <c r="H28" s="6" t="s">
        <v>53</v>
      </c>
      <c r="I28" s="6">
        <v>6</v>
      </c>
      <c r="J28" s="8">
        <v>404500</v>
      </c>
      <c r="K28" s="9">
        <v>0.1</v>
      </c>
      <c r="L28" s="10">
        <v>2184300</v>
      </c>
      <c r="M28" s="6">
        <v>1680000</v>
      </c>
      <c r="N28" s="6">
        <v>504300</v>
      </c>
      <c r="O28" s="6" t="s">
        <v>104</v>
      </c>
      <c r="P28" s="6" t="s">
        <v>90</v>
      </c>
      <c r="Q28" s="6" t="s">
        <v>26</v>
      </c>
    </row>
    <row r="29" spans="1:17" x14ac:dyDescent="0.3">
      <c r="A29" s="6" t="s">
        <v>142</v>
      </c>
      <c r="B29" s="7">
        <v>45675</v>
      </c>
      <c r="C29" s="6" t="s">
        <v>143</v>
      </c>
      <c r="D29" s="6" t="s">
        <v>144</v>
      </c>
      <c r="E29" s="6" t="s">
        <v>20</v>
      </c>
      <c r="F29" s="6" t="s">
        <v>21</v>
      </c>
      <c r="G29" s="6" t="s">
        <v>78</v>
      </c>
      <c r="H29" s="6" t="s">
        <v>79</v>
      </c>
      <c r="I29" s="6">
        <v>7</v>
      </c>
      <c r="J29" s="8">
        <v>32000</v>
      </c>
      <c r="K29" s="9">
        <v>0.05</v>
      </c>
      <c r="L29" s="10">
        <v>212800</v>
      </c>
      <c r="M29" s="6">
        <v>126000</v>
      </c>
      <c r="N29" s="6">
        <v>86800</v>
      </c>
      <c r="O29" s="6" t="s">
        <v>68</v>
      </c>
      <c r="P29" s="6" t="s">
        <v>63</v>
      </c>
      <c r="Q29" s="6" t="s">
        <v>26</v>
      </c>
    </row>
    <row r="30" spans="1:17" x14ac:dyDescent="0.3">
      <c r="A30" s="6" t="s">
        <v>145</v>
      </c>
      <c r="B30" s="7">
        <v>45676</v>
      </c>
      <c r="C30" s="6" t="s">
        <v>146</v>
      </c>
      <c r="D30" s="6" t="s">
        <v>147</v>
      </c>
      <c r="E30" s="6" t="s">
        <v>67</v>
      </c>
      <c r="F30" s="6" t="s">
        <v>100</v>
      </c>
      <c r="G30" s="6" t="s">
        <v>44</v>
      </c>
      <c r="H30" s="6" t="s">
        <v>45</v>
      </c>
      <c r="I30" s="6">
        <v>6</v>
      </c>
      <c r="J30" s="8">
        <v>497600</v>
      </c>
      <c r="K30" s="9">
        <v>0.08</v>
      </c>
      <c r="L30" s="10">
        <v>2746752</v>
      </c>
      <c r="M30" s="6">
        <v>2190000</v>
      </c>
      <c r="N30" s="6">
        <v>556752</v>
      </c>
      <c r="O30" s="6" t="s">
        <v>31</v>
      </c>
      <c r="P30" s="6" t="s">
        <v>119</v>
      </c>
      <c r="Q30" s="6" t="s">
        <v>26</v>
      </c>
    </row>
    <row r="31" spans="1:17" x14ac:dyDescent="0.3">
      <c r="A31" s="6" t="s">
        <v>148</v>
      </c>
      <c r="B31" s="7">
        <v>45676</v>
      </c>
      <c r="C31" s="6" t="s">
        <v>34</v>
      </c>
      <c r="D31" s="6" t="s">
        <v>35</v>
      </c>
      <c r="E31" s="6" t="s">
        <v>87</v>
      </c>
      <c r="F31" s="6" t="s">
        <v>88</v>
      </c>
      <c r="G31" s="6" t="s">
        <v>44</v>
      </c>
      <c r="H31" s="6" t="s">
        <v>89</v>
      </c>
      <c r="I31" s="6">
        <v>4</v>
      </c>
      <c r="J31" s="8">
        <v>182300</v>
      </c>
      <c r="K31" s="9">
        <v>0.08</v>
      </c>
      <c r="L31" s="10">
        <v>-670864</v>
      </c>
      <c r="M31" s="6">
        <v>-460000</v>
      </c>
      <c r="N31" s="6">
        <v>-210864</v>
      </c>
      <c r="O31" s="6" t="s">
        <v>24</v>
      </c>
      <c r="P31" s="6" t="s">
        <v>32</v>
      </c>
      <c r="Q31" s="6" t="s">
        <v>105</v>
      </c>
    </row>
    <row r="32" spans="1:17" x14ac:dyDescent="0.3">
      <c r="A32" s="6" t="s">
        <v>149</v>
      </c>
      <c r="B32" s="7">
        <v>45676</v>
      </c>
      <c r="C32" s="6" t="s">
        <v>150</v>
      </c>
      <c r="D32" s="6" t="s">
        <v>151</v>
      </c>
      <c r="E32" s="6" t="s">
        <v>36</v>
      </c>
      <c r="F32" s="6" t="s">
        <v>36</v>
      </c>
      <c r="G32" s="6" t="s">
        <v>44</v>
      </c>
      <c r="H32" s="6" t="s">
        <v>73</v>
      </c>
      <c r="I32" s="6">
        <v>1</v>
      </c>
      <c r="J32" s="8">
        <v>326100</v>
      </c>
      <c r="K32" s="9">
        <v>0.15</v>
      </c>
      <c r="L32" s="10">
        <v>277185</v>
      </c>
      <c r="M32" s="6">
        <v>210000</v>
      </c>
      <c r="N32" s="6">
        <v>67185</v>
      </c>
      <c r="O32" s="6" t="s">
        <v>40</v>
      </c>
      <c r="P32" s="6" t="s">
        <v>63</v>
      </c>
      <c r="Q32" s="6" t="s">
        <v>26</v>
      </c>
    </row>
    <row r="33" spans="1:17" x14ac:dyDescent="0.3">
      <c r="A33" s="6" t="s">
        <v>152</v>
      </c>
      <c r="B33" s="7">
        <v>45676</v>
      </c>
      <c r="C33" s="6" t="s">
        <v>153</v>
      </c>
      <c r="D33" s="6" t="s">
        <v>154</v>
      </c>
      <c r="E33" s="6" t="s">
        <v>36</v>
      </c>
      <c r="F33" s="6" t="s">
        <v>155</v>
      </c>
      <c r="G33" s="6" t="s">
        <v>22</v>
      </c>
      <c r="H33" s="6" t="s">
        <v>49</v>
      </c>
      <c r="I33" s="6">
        <v>4</v>
      </c>
      <c r="J33" s="8">
        <v>1225200</v>
      </c>
      <c r="K33" s="9">
        <v>0.08</v>
      </c>
      <c r="L33" s="10">
        <v>4508736</v>
      </c>
      <c r="M33" s="6">
        <v>3800000</v>
      </c>
      <c r="N33" s="6">
        <v>708736</v>
      </c>
      <c r="O33" s="6" t="s">
        <v>68</v>
      </c>
      <c r="P33" s="6" t="s">
        <v>119</v>
      </c>
      <c r="Q33" s="6" t="s">
        <v>26</v>
      </c>
    </row>
    <row r="34" spans="1:17" x14ac:dyDescent="0.3">
      <c r="A34" s="6" t="s">
        <v>156</v>
      </c>
      <c r="B34" s="7">
        <v>45676</v>
      </c>
      <c r="C34" s="6" t="s">
        <v>157</v>
      </c>
      <c r="D34" s="6" t="s">
        <v>158</v>
      </c>
      <c r="E34" s="6" t="s">
        <v>30</v>
      </c>
      <c r="F34" s="6" t="s">
        <v>159</v>
      </c>
      <c r="G34" s="6" t="s">
        <v>44</v>
      </c>
      <c r="H34" s="6" t="s">
        <v>73</v>
      </c>
      <c r="I34" s="6">
        <v>2</v>
      </c>
      <c r="J34" s="8">
        <v>301400</v>
      </c>
      <c r="K34" s="9">
        <v>0.05</v>
      </c>
      <c r="L34" s="10">
        <v>572660</v>
      </c>
      <c r="M34" s="6">
        <v>420000</v>
      </c>
      <c r="N34" s="6">
        <v>152660</v>
      </c>
      <c r="O34" s="6" t="s">
        <v>31</v>
      </c>
      <c r="P34" s="6" t="s">
        <v>74</v>
      </c>
      <c r="Q34" s="6" t="s">
        <v>26</v>
      </c>
    </row>
    <row r="35" spans="1:17" x14ac:dyDescent="0.3">
      <c r="A35" s="6" t="s">
        <v>160</v>
      </c>
      <c r="B35" s="7">
        <v>45676</v>
      </c>
      <c r="C35" s="6" t="s">
        <v>161</v>
      </c>
      <c r="D35" s="6" t="s">
        <v>162</v>
      </c>
      <c r="E35" s="6" t="s">
        <v>36</v>
      </c>
      <c r="F35" s="6" t="s">
        <v>37</v>
      </c>
      <c r="G35" s="6" t="s">
        <v>22</v>
      </c>
      <c r="H35" s="6" t="s">
        <v>23</v>
      </c>
      <c r="I35" s="6">
        <v>1</v>
      </c>
      <c r="J35" s="8">
        <v>392400</v>
      </c>
      <c r="K35" s="9">
        <v>0.02</v>
      </c>
      <c r="L35" s="10">
        <v>384552</v>
      </c>
      <c r="M35" s="6">
        <v>300000</v>
      </c>
      <c r="N35" s="6">
        <v>84552</v>
      </c>
      <c r="O35" s="6" t="s">
        <v>104</v>
      </c>
      <c r="P35" s="6" t="s">
        <v>163</v>
      </c>
      <c r="Q35" s="6" t="s">
        <v>26</v>
      </c>
    </row>
    <row r="36" spans="1:17" x14ac:dyDescent="0.3">
      <c r="A36" s="6" t="s">
        <v>164</v>
      </c>
      <c r="B36" s="7">
        <v>45677</v>
      </c>
      <c r="C36" s="6" t="s">
        <v>165</v>
      </c>
      <c r="D36" s="6" t="s">
        <v>166</v>
      </c>
      <c r="E36" s="6" t="s">
        <v>36</v>
      </c>
      <c r="F36" s="6" t="s">
        <v>37</v>
      </c>
      <c r="G36" s="6" t="s">
        <v>44</v>
      </c>
      <c r="H36" s="6" t="s">
        <v>73</v>
      </c>
      <c r="I36" s="6">
        <v>2</v>
      </c>
      <c r="J36" s="8">
        <v>323200</v>
      </c>
      <c r="K36" s="9">
        <v>0</v>
      </c>
      <c r="L36" s="10">
        <v>646400</v>
      </c>
      <c r="M36" s="6">
        <v>420000</v>
      </c>
      <c r="N36" s="6">
        <v>226400</v>
      </c>
      <c r="O36" s="6" t="s">
        <v>104</v>
      </c>
      <c r="P36" s="6" t="s">
        <v>90</v>
      </c>
      <c r="Q36" s="6" t="s">
        <v>26</v>
      </c>
    </row>
    <row r="37" spans="1:17" x14ac:dyDescent="0.3">
      <c r="A37" s="6" t="s">
        <v>167</v>
      </c>
      <c r="B37" s="7">
        <v>45677</v>
      </c>
      <c r="C37" s="6" t="s">
        <v>168</v>
      </c>
      <c r="D37" s="6" t="s">
        <v>169</v>
      </c>
      <c r="E37" s="6" t="s">
        <v>87</v>
      </c>
      <c r="F37" s="6" t="s">
        <v>135</v>
      </c>
      <c r="G37" s="6" t="s">
        <v>22</v>
      </c>
      <c r="H37" s="6" t="s">
        <v>83</v>
      </c>
      <c r="I37" s="6">
        <v>6</v>
      </c>
      <c r="J37" s="8">
        <v>685000</v>
      </c>
      <c r="K37" s="9">
        <v>0.1</v>
      </c>
      <c r="L37" s="10">
        <v>3699000</v>
      </c>
      <c r="M37" s="6">
        <v>2820000</v>
      </c>
      <c r="N37" s="6">
        <v>879000</v>
      </c>
      <c r="O37" s="6" t="s">
        <v>68</v>
      </c>
      <c r="P37" s="6" t="s">
        <v>63</v>
      </c>
      <c r="Q37" s="6" t="s">
        <v>26</v>
      </c>
    </row>
    <row r="38" spans="1:17" x14ac:dyDescent="0.3">
      <c r="A38" s="6" t="s">
        <v>170</v>
      </c>
      <c r="B38" s="7">
        <v>45677</v>
      </c>
      <c r="C38" s="6" t="s">
        <v>171</v>
      </c>
      <c r="D38" s="6" t="s">
        <v>172</v>
      </c>
      <c r="E38" s="6" t="s">
        <v>20</v>
      </c>
      <c r="F38" s="6" t="s">
        <v>21</v>
      </c>
      <c r="G38" s="6" t="s">
        <v>38</v>
      </c>
      <c r="H38" s="6" t="s">
        <v>39</v>
      </c>
      <c r="I38" s="6">
        <v>2</v>
      </c>
      <c r="J38" s="8">
        <v>26300</v>
      </c>
      <c r="K38" s="9">
        <v>0.08</v>
      </c>
      <c r="L38" s="10">
        <v>48392</v>
      </c>
      <c r="M38" s="6">
        <v>30000</v>
      </c>
      <c r="N38" s="6">
        <v>18392</v>
      </c>
      <c r="O38" s="6" t="s">
        <v>40</v>
      </c>
      <c r="P38" s="6" t="s">
        <v>119</v>
      </c>
      <c r="Q38" s="6" t="s">
        <v>26</v>
      </c>
    </row>
    <row r="39" spans="1:17" x14ac:dyDescent="0.3">
      <c r="A39" s="6" t="s">
        <v>173</v>
      </c>
      <c r="B39" s="7">
        <v>45678</v>
      </c>
      <c r="C39" s="6" t="s">
        <v>174</v>
      </c>
      <c r="D39" s="6" t="s">
        <v>175</v>
      </c>
      <c r="E39" s="6" t="s">
        <v>67</v>
      </c>
      <c r="F39" s="6" t="s">
        <v>100</v>
      </c>
      <c r="G39" s="6" t="s">
        <v>78</v>
      </c>
      <c r="H39" s="6" t="s">
        <v>79</v>
      </c>
      <c r="I39" s="6">
        <v>4</v>
      </c>
      <c r="J39" s="8">
        <v>33200</v>
      </c>
      <c r="K39" s="9">
        <v>0.02</v>
      </c>
      <c r="L39" s="10">
        <v>130144</v>
      </c>
      <c r="M39" s="6">
        <v>72000</v>
      </c>
      <c r="N39" s="6">
        <v>58144</v>
      </c>
      <c r="O39" s="6" t="s">
        <v>68</v>
      </c>
      <c r="P39" s="6" t="s">
        <v>63</v>
      </c>
      <c r="Q39" s="6" t="s">
        <v>26</v>
      </c>
    </row>
    <row r="40" spans="1:17" x14ac:dyDescent="0.3">
      <c r="A40" s="6" t="s">
        <v>176</v>
      </c>
      <c r="B40" s="7">
        <v>45678</v>
      </c>
      <c r="C40" s="6" t="s">
        <v>177</v>
      </c>
      <c r="D40" s="6" t="s">
        <v>178</v>
      </c>
      <c r="E40" s="6" t="s">
        <v>30</v>
      </c>
      <c r="F40" s="6" t="s">
        <v>159</v>
      </c>
      <c r="G40" s="6" t="s">
        <v>44</v>
      </c>
      <c r="H40" s="6" t="s">
        <v>45</v>
      </c>
      <c r="I40" s="6">
        <v>3</v>
      </c>
      <c r="J40" s="8">
        <v>545400</v>
      </c>
      <c r="K40" s="9">
        <v>0</v>
      </c>
      <c r="L40" s="10">
        <v>-1636200</v>
      </c>
      <c r="M40" s="6">
        <v>-1095000</v>
      </c>
      <c r="N40" s="6">
        <v>-541200</v>
      </c>
      <c r="O40" s="6" t="s">
        <v>104</v>
      </c>
      <c r="P40" s="6" t="s">
        <v>25</v>
      </c>
      <c r="Q40" s="6" t="s">
        <v>105</v>
      </c>
    </row>
    <row r="41" spans="1:17" x14ac:dyDescent="0.3">
      <c r="A41" s="6" t="s">
        <v>179</v>
      </c>
      <c r="B41" s="7">
        <v>45680</v>
      </c>
      <c r="C41" s="6" t="s">
        <v>180</v>
      </c>
      <c r="D41" s="6" t="s">
        <v>181</v>
      </c>
      <c r="E41" s="6" t="s">
        <v>36</v>
      </c>
      <c r="F41" s="6" t="s">
        <v>36</v>
      </c>
      <c r="G41" s="6" t="s">
        <v>22</v>
      </c>
      <c r="H41" s="6" t="s">
        <v>49</v>
      </c>
      <c r="I41" s="6">
        <v>7</v>
      </c>
      <c r="J41" s="8">
        <v>1226800</v>
      </c>
      <c r="K41" s="9">
        <v>0.05</v>
      </c>
      <c r="L41" s="10">
        <v>-8158220</v>
      </c>
      <c r="M41" s="6">
        <v>-6650000</v>
      </c>
      <c r="N41" s="6">
        <v>-1508220</v>
      </c>
      <c r="O41" s="6" t="s">
        <v>104</v>
      </c>
      <c r="P41" s="6" t="s">
        <v>163</v>
      </c>
      <c r="Q41" s="6" t="s">
        <v>105</v>
      </c>
    </row>
    <row r="42" spans="1:17" x14ac:dyDescent="0.3">
      <c r="A42" s="6" t="s">
        <v>182</v>
      </c>
      <c r="B42" s="7">
        <v>45680</v>
      </c>
      <c r="C42" s="6" t="s">
        <v>183</v>
      </c>
      <c r="D42" s="6" t="s">
        <v>184</v>
      </c>
      <c r="E42" s="6" t="s">
        <v>36</v>
      </c>
      <c r="F42" s="6" t="s">
        <v>37</v>
      </c>
      <c r="G42" s="6" t="s">
        <v>38</v>
      </c>
      <c r="H42" s="6" t="s">
        <v>127</v>
      </c>
      <c r="I42" s="6">
        <v>3</v>
      </c>
      <c r="J42" s="8">
        <v>246500</v>
      </c>
      <c r="K42" s="9">
        <v>0.15</v>
      </c>
      <c r="L42" s="10">
        <v>628575</v>
      </c>
      <c r="M42" s="6">
        <v>495000</v>
      </c>
      <c r="N42" s="6">
        <v>133575</v>
      </c>
      <c r="O42" s="6" t="s">
        <v>40</v>
      </c>
      <c r="P42" s="6" t="s">
        <v>25</v>
      </c>
      <c r="Q42" s="6" t="s">
        <v>26</v>
      </c>
    </row>
    <row r="43" spans="1:17" x14ac:dyDescent="0.3">
      <c r="A43" s="6" t="s">
        <v>185</v>
      </c>
      <c r="B43" s="7">
        <v>45681</v>
      </c>
      <c r="C43" s="6" t="s">
        <v>186</v>
      </c>
      <c r="D43" s="6" t="s">
        <v>187</v>
      </c>
      <c r="E43" s="6" t="s">
        <v>20</v>
      </c>
      <c r="F43" s="6" t="s">
        <v>62</v>
      </c>
      <c r="G43" s="6" t="s">
        <v>78</v>
      </c>
      <c r="H43" s="6" t="s">
        <v>188</v>
      </c>
      <c r="I43" s="6">
        <v>6</v>
      </c>
      <c r="J43" s="8">
        <v>89700</v>
      </c>
      <c r="K43" s="9">
        <v>0.05</v>
      </c>
      <c r="L43" s="10">
        <v>511290</v>
      </c>
      <c r="M43" s="6">
        <v>312000</v>
      </c>
      <c r="N43" s="6">
        <v>199290</v>
      </c>
      <c r="O43" s="6" t="s">
        <v>68</v>
      </c>
      <c r="P43" s="6" t="s">
        <v>163</v>
      </c>
      <c r="Q43" s="6" t="s">
        <v>26</v>
      </c>
    </row>
    <row r="44" spans="1:17" x14ac:dyDescent="0.3">
      <c r="A44" s="6" t="s">
        <v>189</v>
      </c>
      <c r="B44" s="7">
        <v>45681</v>
      </c>
      <c r="C44" s="6" t="s">
        <v>190</v>
      </c>
      <c r="D44" s="6" t="s">
        <v>191</v>
      </c>
      <c r="E44" s="6" t="s">
        <v>67</v>
      </c>
      <c r="F44" s="6" t="s">
        <v>100</v>
      </c>
      <c r="G44" s="6" t="s">
        <v>78</v>
      </c>
      <c r="H44" s="6" t="s">
        <v>115</v>
      </c>
      <c r="I44" s="6">
        <v>5</v>
      </c>
      <c r="J44" s="8">
        <v>86400</v>
      </c>
      <c r="K44" s="9">
        <v>0.05</v>
      </c>
      <c r="L44" s="10">
        <v>410400</v>
      </c>
      <c r="M44" s="6">
        <v>290000</v>
      </c>
      <c r="N44" s="6">
        <v>120400</v>
      </c>
      <c r="O44" s="6" t="s">
        <v>40</v>
      </c>
      <c r="P44" s="6" t="s">
        <v>163</v>
      </c>
      <c r="Q44" s="6" t="s">
        <v>26</v>
      </c>
    </row>
    <row r="45" spans="1:17" x14ac:dyDescent="0.3">
      <c r="A45" s="6" t="s">
        <v>192</v>
      </c>
      <c r="B45" s="7">
        <v>45681</v>
      </c>
      <c r="C45" s="6" t="s">
        <v>193</v>
      </c>
      <c r="D45" s="6" t="s">
        <v>194</v>
      </c>
      <c r="E45" s="6" t="s">
        <v>20</v>
      </c>
      <c r="F45" s="6" t="s">
        <v>62</v>
      </c>
      <c r="G45" s="6" t="s">
        <v>22</v>
      </c>
      <c r="H45" s="6" t="s">
        <v>23</v>
      </c>
      <c r="I45" s="6">
        <v>4</v>
      </c>
      <c r="J45" s="8">
        <v>427500</v>
      </c>
      <c r="K45" s="9">
        <v>0</v>
      </c>
      <c r="L45" s="10">
        <v>-1710000</v>
      </c>
      <c r="M45" s="6">
        <v>-1200000</v>
      </c>
      <c r="N45" s="6">
        <v>-510000</v>
      </c>
      <c r="O45" s="6" t="s">
        <v>104</v>
      </c>
      <c r="P45" s="6" t="s">
        <v>25</v>
      </c>
      <c r="Q45" s="6" t="s">
        <v>105</v>
      </c>
    </row>
    <row r="46" spans="1:17" x14ac:dyDescent="0.3">
      <c r="A46" s="6" t="s">
        <v>195</v>
      </c>
      <c r="B46" s="7">
        <v>45681</v>
      </c>
      <c r="C46" s="6" t="s">
        <v>196</v>
      </c>
      <c r="D46" s="6" t="s">
        <v>197</v>
      </c>
      <c r="E46" s="6" t="s">
        <v>36</v>
      </c>
      <c r="F46" s="6" t="s">
        <v>36</v>
      </c>
      <c r="G46" s="6" t="s">
        <v>22</v>
      </c>
      <c r="H46" s="6" t="s">
        <v>23</v>
      </c>
      <c r="I46" s="6">
        <v>3</v>
      </c>
      <c r="J46" s="8">
        <v>417500</v>
      </c>
      <c r="K46" s="9">
        <v>0.05</v>
      </c>
      <c r="L46" s="10">
        <v>1189875</v>
      </c>
      <c r="M46" s="6">
        <v>900000</v>
      </c>
      <c r="N46" s="6">
        <v>289875</v>
      </c>
      <c r="O46" s="6" t="s">
        <v>24</v>
      </c>
      <c r="P46" s="6" t="s">
        <v>25</v>
      </c>
      <c r="Q46" s="6" t="s">
        <v>26</v>
      </c>
    </row>
    <row r="47" spans="1:17" x14ac:dyDescent="0.3">
      <c r="A47" s="6" t="s">
        <v>198</v>
      </c>
      <c r="B47" s="7">
        <v>45683</v>
      </c>
      <c r="C47" s="6" t="s">
        <v>199</v>
      </c>
      <c r="D47" s="6" t="s">
        <v>200</v>
      </c>
      <c r="E47" s="6" t="s">
        <v>30</v>
      </c>
      <c r="F47" s="6" t="s">
        <v>30</v>
      </c>
      <c r="G47" s="6" t="s">
        <v>22</v>
      </c>
      <c r="H47" s="6" t="s">
        <v>58</v>
      </c>
      <c r="I47" s="6">
        <v>2</v>
      </c>
      <c r="J47" s="8">
        <v>100900</v>
      </c>
      <c r="K47" s="9">
        <v>0.08</v>
      </c>
      <c r="L47" s="10">
        <v>185656</v>
      </c>
      <c r="M47" s="6">
        <v>110000</v>
      </c>
      <c r="N47" s="6">
        <v>75656</v>
      </c>
      <c r="O47" s="6" t="s">
        <v>104</v>
      </c>
      <c r="P47" s="6" t="s">
        <v>25</v>
      </c>
      <c r="Q47" s="6" t="s">
        <v>26</v>
      </c>
    </row>
    <row r="48" spans="1:17" x14ac:dyDescent="0.3">
      <c r="A48" s="6" t="s">
        <v>201</v>
      </c>
      <c r="B48" s="7">
        <v>45684</v>
      </c>
      <c r="C48" s="6" t="s">
        <v>202</v>
      </c>
      <c r="D48" s="6" t="s">
        <v>203</v>
      </c>
      <c r="E48" s="6" t="s">
        <v>20</v>
      </c>
      <c r="F48" s="6" t="s">
        <v>62</v>
      </c>
      <c r="G48" s="6" t="s">
        <v>44</v>
      </c>
      <c r="H48" s="6" t="s">
        <v>89</v>
      </c>
      <c r="I48" s="6">
        <v>2</v>
      </c>
      <c r="J48" s="8">
        <v>186700</v>
      </c>
      <c r="K48" s="9">
        <v>0</v>
      </c>
      <c r="L48" s="10">
        <v>373400</v>
      </c>
      <c r="M48" s="6">
        <v>230000</v>
      </c>
      <c r="N48" s="6">
        <v>143400</v>
      </c>
      <c r="O48" s="6" t="s">
        <v>31</v>
      </c>
      <c r="P48" s="6" t="s">
        <v>32</v>
      </c>
      <c r="Q48" s="6" t="s">
        <v>26</v>
      </c>
    </row>
    <row r="49" spans="1:17" x14ac:dyDescent="0.3">
      <c r="A49" s="6" t="s">
        <v>204</v>
      </c>
      <c r="B49" s="7">
        <v>45685</v>
      </c>
      <c r="C49" s="6" t="s">
        <v>205</v>
      </c>
      <c r="D49" s="6" t="s">
        <v>206</v>
      </c>
      <c r="E49" s="6" t="s">
        <v>36</v>
      </c>
      <c r="F49" s="6" t="s">
        <v>37</v>
      </c>
      <c r="G49" s="6" t="s">
        <v>22</v>
      </c>
      <c r="H49" s="6" t="s">
        <v>49</v>
      </c>
      <c r="I49" s="6">
        <v>7</v>
      </c>
      <c r="J49" s="8">
        <v>1187600</v>
      </c>
      <c r="K49" s="9">
        <v>0.05</v>
      </c>
      <c r="L49" s="10">
        <v>7897540</v>
      </c>
      <c r="M49" s="6">
        <v>6650000</v>
      </c>
      <c r="N49" s="6">
        <v>1247540</v>
      </c>
      <c r="O49" s="6" t="s">
        <v>24</v>
      </c>
      <c r="P49" s="6" t="s">
        <v>163</v>
      </c>
      <c r="Q49" s="6" t="s">
        <v>26</v>
      </c>
    </row>
    <row r="50" spans="1:17" x14ac:dyDescent="0.3">
      <c r="A50" s="6" t="s">
        <v>207</v>
      </c>
      <c r="B50" s="7">
        <v>45685</v>
      </c>
      <c r="C50" s="6" t="s">
        <v>150</v>
      </c>
      <c r="D50" s="6" t="s">
        <v>151</v>
      </c>
      <c r="E50" s="6" t="s">
        <v>20</v>
      </c>
      <c r="F50" s="6" t="s">
        <v>62</v>
      </c>
      <c r="G50" s="6" t="s">
        <v>22</v>
      </c>
      <c r="H50" s="6" t="s">
        <v>83</v>
      </c>
      <c r="I50" s="6">
        <v>2</v>
      </c>
      <c r="J50" s="8">
        <v>636400</v>
      </c>
      <c r="K50" s="9">
        <v>0.08</v>
      </c>
      <c r="L50" s="10">
        <v>1170976</v>
      </c>
      <c r="M50" s="6">
        <v>940000</v>
      </c>
      <c r="N50" s="6">
        <v>230976</v>
      </c>
      <c r="O50" s="6" t="s">
        <v>104</v>
      </c>
      <c r="P50" s="6" t="s">
        <v>32</v>
      </c>
      <c r="Q50" s="6" t="s">
        <v>26</v>
      </c>
    </row>
    <row r="51" spans="1:17" x14ac:dyDescent="0.3">
      <c r="A51" s="6" t="s">
        <v>208</v>
      </c>
      <c r="B51" s="7">
        <v>45685</v>
      </c>
      <c r="C51" s="6" t="s">
        <v>209</v>
      </c>
      <c r="D51" s="6" t="s">
        <v>210</v>
      </c>
      <c r="E51" s="6" t="s">
        <v>36</v>
      </c>
      <c r="F51" s="6" t="s">
        <v>155</v>
      </c>
      <c r="G51" s="6" t="s">
        <v>22</v>
      </c>
      <c r="H51" s="6" t="s">
        <v>83</v>
      </c>
      <c r="I51" s="6">
        <v>4</v>
      </c>
      <c r="J51" s="8">
        <v>613000</v>
      </c>
      <c r="K51" s="9">
        <v>0</v>
      </c>
      <c r="L51" s="10">
        <v>2452000</v>
      </c>
      <c r="M51" s="6">
        <v>1880000</v>
      </c>
      <c r="N51" s="6">
        <v>572000</v>
      </c>
      <c r="O51" s="6" t="s">
        <v>40</v>
      </c>
      <c r="P51" s="6" t="s">
        <v>32</v>
      </c>
      <c r="Q51" s="6" t="s">
        <v>26</v>
      </c>
    </row>
    <row r="52" spans="1:17" x14ac:dyDescent="0.3">
      <c r="A52" s="6" t="s">
        <v>211</v>
      </c>
      <c r="B52" s="7">
        <v>45686</v>
      </c>
      <c r="C52" s="6" t="s">
        <v>212</v>
      </c>
      <c r="D52" s="6" t="s">
        <v>213</v>
      </c>
      <c r="E52" s="6" t="s">
        <v>30</v>
      </c>
      <c r="F52" s="6" t="s">
        <v>30</v>
      </c>
      <c r="G52" s="6" t="s">
        <v>38</v>
      </c>
      <c r="H52" s="6" t="s">
        <v>214</v>
      </c>
      <c r="I52" s="6">
        <v>6</v>
      </c>
      <c r="J52" s="8">
        <v>48500</v>
      </c>
      <c r="K52" s="9">
        <v>0.08</v>
      </c>
      <c r="L52" s="10">
        <v>267720</v>
      </c>
      <c r="M52" s="6">
        <v>156000</v>
      </c>
      <c r="N52" s="6">
        <v>111720</v>
      </c>
      <c r="O52" s="6" t="s">
        <v>68</v>
      </c>
      <c r="P52" s="6" t="s">
        <v>119</v>
      </c>
      <c r="Q52" s="6" t="s">
        <v>26</v>
      </c>
    </row>
    <row r="53" spans="1:17" x14ac:dyDescent="0.3">
      <c r="A53" s="6" t="s">
        <v>215</v>
      </c>
      <c r="B53" s="7">
        <v>45686</v>
      </c>
      <c r="C53" s="6" t="s">
        <v>183</v>
      </c>
      <c r="D53" s="6" t="s">
        <v>184</v>
      </c>
      <c r="E53" s="6" t="s">
        <v>30</v>
      </c>
      <c r="F53" s="6" t="s">
        <v>30</v>
      </c>
      <c r="G53" s="6" t="s">
        <v>38</v>
      </c>
      <c r="H53" s="6" t="s">
        <v>39</v>
      </c>
      <c r="I53" s="6">
        <v>5</v>
      </c>
      <c r="J53" s="8">
        <v>28400</v>
      </c>
      <c r="K53" s="9">
        <v>0.08</v>
      </c>
      <c r="L53" s="10">
        <v>130640</v>
      </c>
      <c r="M53" s="6">
        <v>75000</v>
      </c>
      <c r="N53" s="6">
        <v>55640</v>
      </c>
      <c r="O53" s="6" t="s">
        <v>40</v>
      </c>
      <c r="P53" s="6" t="s">
        <v>54</v>
      </c>
      <c r="Q53" s="6" t="s">
        <v>26</v>
      </c>
    </row>
    <row r="54" spans="1:17" x14ac:dyDescent="0.3">
      <c r="A54" s="6" t="s">
        <v>216</v>
      </c>
      <c r="B54" s="7">
        <v>45686</v>
      </c>
      <c r="C54" s="6" t="s">
        <v>217</v>
      </c>
      <c r="D54" s="6" t="s">
        <v>218</v>
      </c>
      <c r="E54" s="6" t="s">
        <v>36</v>
      </c>
      <c r="F54" s="6" t="s">
        <v>36</v>
      </c>
      <c r="G54" s="6" t="s">
        <v>38</v>
      </c>
      <c r="H54" s="6" t="s">
        <v>214</v>
      </c>
      <c r="I54" s="6">
        <v>3</v>
      </c>
      <c r="J54" s="8">
        <v>41600</v>
      </c>
      <c r="K54" s="9">
        <v>0</v>
      </c>
      <c r="L54" s="10">
        <v>124800</v>
      </c>
      <c r="M54" s="6">
        <v>78000</v>
      </c>
      <c r="N54" s="6">
        <v>46800</v>
      </c>
      <c r="O54" s="6" t="s">
        <v>68</v>
      </c>
      <c r="P54" s="6" t="s">
        <v>32</v>
      </c>
      <c r="Q54" s="6" t="s">
        <v>26</v>
      </c>
    </row>
    <row r="55" spans="1:17" x14ac:dyDescent="0.3">
      <c r="A55" s="6" t="s">
        <v>219</v>
      </c>
      <c r="B55" s="7">
        <v>45686</v>
      </c>
      <c r="C55" s="6" t="s">
        <v>220</v>
      </c>
      <c r="D55" s="6" t="s">
        <v>221</v>
      </c>
      <c r="E55" s="6" t="s">
        <v>30</v>
      </c>
      <c r="F55" s="6" t="s">
        <v>222</v>
      </c>
      <c r="G55" s="6" t="s">
        <v>22</v>
      </c>
      <c r="H55" s="6" t="s">
        <v>83</v>
      </c>
      <c r="I55" s="6">
        <v>2</v>
      </c>
      <c r="J55" s="8">
        <v>600900</v>
      </c>
      <c r="K55" s="9">
        <v>0.02</v>
      </c>
      <c r="L55" s="10">
        <v>1177764</v>
      </c>
      <c r="M55" s="6">
        <v>940000</v>
      </c>
      <c r="N55" s="6">
        <v>237764</v>
      </c>
      <c r="O55" s="6" t="s">
        <v>40</v>
      </c>
      <c r="P55" s="6" t="s">
        <v>54</v>
      </c>
      <c r="Q55" s="6" t="s">
        <v>26</v>
      </c>
    </row>
    <row r="56" spans="1:17" x14ac:dyDescent="0.3">
      <c r="A56" s="6" t="s">
        <v>223</v>
      </c>
      <c r="B56" s="7">
        <v>45686</v>
      </c>
      <c r="C56" s="6" t="s">
        <v>47</v>
      </c>
      <c r="D56" s="6" t="s">
        <v>48</v>
      </c>
      <c r="E56" s="6" t="s">
        <v>20</v>
      </c>
      <c r="F56" s="6" t="s">
        <v>21</v>
      </c>
      <c r="G56" s="6" t="s">
        <v>38</v>
      </c>
      <c r="H56" s="6" t="s">
        <v>214</v>
      </c>
      <c r="I56" s="6">
        <v>5</v>
      </c>
      <c r="J56" s="8">
        <v>48300</v>
      </c>
      <c r="K56" s="9">
        <v>0.1</v>
      </c>
      <c r="L56" s="10">
        <v>217350</v>
      </c>
      <c r="M56" s="6">
        <v>130000</v>
      </c>
      <c r="N56" s="6">
        <v>87350</v>
      </c>
      <c r="O56" s="6" t="s">
        <v>68</v>
      </c>
      <c r="P56" s="6" t="s">
        <v>74</v>
      </c>
      <c r="Q56" s="6" t="s">
        <v>26</v>
      </c>
    </row>
    <row r="57" spans="1:17" x14ac:dyDescent="0.3">
      <c r="A57" s="6" t="s">
        <v>224</v>
      </c>
      <c r="B57" s="7">
        <v>45687</v>
      </c>
      <c r="C57" s="6" t="s">
        <v>225</v>
      </c>
      <c r="D57" s="6" t="s">
        <v>226</v>
      </c>
      <c r="E57" s="6" t="s">
        <v>20</v>
      </c>
      <c r="F57" s="6" t="s">
        <v>62</v>
      </c>
      <c r="G57" s="6" t="s">
        <v>22</v>
      </c>
      <c r="H57" s="6" t="s">
        <v>23</v>
      </c>
      <c r="I57" s="6">
        <v>1</v>
      </c>
      <c r="J57" s="8">
        <v>399700</v>
      </c>
      <c r="K57" s="9">
        <v>0.15</v>
      </c>
      <c r="L57" s="10">
        <v>339745</v>
      </c>
      <c r="M57" s="6">
        <v>300000</v>
      </c>
      <c r="N57" s="6">
        <v>39745</v>
      </c>
      <c r="O57" s="6" t="s">
        <v>68</v>
      </c>
      <c r="P57" s="6" t="s">
        <v>163</v>
      </c>
      <c r="Q57" s="6" t="s">
        <v>26</v>
      </c>
    </row>
    <row r="58" spans="1:17" x14ac:dyDescent="0.3">
      <c r="A58" s="6" t="s">
        <v>227</v>
      </c>
      <c r="B58" s="7">
        <v>45687</v>
      </c>
      <c r="C58" s="6" t="s">
        <v>228</v>
      </c>
      <c r="D58" s="6" t="s">
        <v>229</v>
      </c>
      <c r="E58" s="6" t="s">
        <v>20</v>
      </c>
      <c r="F58" s="6" t="s">
        <v>123</v>
      </c>
      <c r="G58" s="6" t="s">
        <v>44</v>
      </c>
      <c r="H58" s="6" t="s">
        <v>45</v>
      </c>
      <c r="I58" s="6">
        <v>6</v>
      </c>
      <c r="J58" s="8">
        <v>559600</v>
      </c>
      <c r="K58" s="9">
        <v>0.02</v>
      </c>
      <c r="L58" s="10">
        <v>3290448</v>
      </c>
      <c r="M58" s="6">
        <v>2190000</v>
      </c>
      <c r="N58" s="6">
        <v>1100448</v>
      </c>
      <c r="O58" s="6" t="s">
        <v>24</v>
      </c>
      <c r="P58" s="6" t="s">
        <v>74</v>
      </c>
      <c r="Q58" s="6" t="s">
        <v>26</v>
      </c>
    </row>
    <row r="59" spans="1:17" x14ac:dyDescent="0.3">
      <c r="A59" s="6" t="s">
        <v>230</v>
      </c>
      <c r="B59" s="7">
        <v>45687</v>
      </c>
      <c r="C59" s="6" t="s">
        <v>231</v>
      </c>
      <c r="D59" s="6" t="s">
        <v>232</v>
      </c>
      <c r="E59" s="6" t="s">
        <v>20</v>
      </c>
      <c r="F59" s="6" t="s">
        <v>62</v>
      </c>
      <c r="G59" s="6" t="s">
        <v>44</v>
      </c>
      <c r="H59" s="6" t="s">
        <v>73</v>
      </c>
      <c r="I59" s="6">
        <v>2</v>
      </c>
      <c r="J59" s="8">
        <v>319500</v>
      </c>
      <c r="K59" s="9">
        <v>0.02</v>
      </c>
      <c r="L59" s="10">
        <v>626220</v>
      </c>
      <c r="M59" s="6">
        <v>420000</v>
      </c>
      <c r="N59" s="6">
        <v>206220</v>
      </c>
      <c r="O59" s="6" t="s">
        <v>40</v>
      </c>
      <c r="P59" s="6" t="s">
        <v>25</v>
      </c>
      <c r="Q59" s="6" t="s">
        <v>26</v>
      </c>
    </row>
    <row r="60" spans="1:17" x14ac:dyDescent="0.3">
      <c r="A60" s="6" t="s">
        <v>233</v>
      </c>
      <c r="B60" s="7">
        <v>45688</v>
      </c>
      <c r="C60" s="6" t="s">
        <v>234</v>
      </c>
      <c r="D60" s="6" t="s">
        <v>235</v>
      </c>
      <c r="E60" s="6" t="s">
        <v>67</v>
      </c>
      <c r="F60" s="6" t="s">
        <v>236</v>
      </c>
      <c r="G60" s="6" t="s">
        <v>44</v>
      </c>
      <c r="H60" s="6" t="s">
        <v>73</v>
      </c>
      <c r="I60" s="6">
        <v>6</v>
      </c>
      <c r="J60" s="8">
        <v>330300</v>
      </c>
      <c r="K60" s="9">
        <v>0</v>
      </c>
      <c r="L60" s="10">
        <v>1981800</v>
      </c>
      <c r="M60" s="6">
        <v>1260000</v>
      </c>
      <c r="N60" s="6">
        <v>721800</v>
      </c>
      <c r="O60" s="6" t="s">
        <v>31</v>
      </c>
      <c r="P60" s="6" t="s">
        <v>54</v>
      </c>
      <c r="Q60" s="6" t="s">
        <v>26</v>
      </c>
    </row>
    <row r="61" spans="1:17" x14ac:dyDescent="0.3">
      <c r="A61" s="6" t="s">
        <v>237</v>
      </c>
      <c r="B61" s="7">
        <v>45692</v>
      </c>
      <c r="C61" s="6" t="s">
        <v>238</v>
      </c>
      <c r="D61" s="6" t="s">
        <v>239</v>
      </c>
      <c r="E61" s="6" t="s">
        <v>36</v>
      </c>
      <c r="F61" s="6" t="s">
        <v>155</v>
      </c>
      <c r="G61" s="6" t="s">
        <v>38</v>
      </c>
      <c r="H61" s="6" t="s">
        <v>39</v>
      </c>
      <c r="I61" s="6">
        <v>1</v>
      </c>
      <c r="J61" s="8">
        <v>28900</v>
      </c>
      <c r="K61" s="9">
        <v>0.1</v>
      </c>
      <c r="L61" s="10">
        <v>26010</v>
      </c>
      <c r="M61" s="6">
        <v>15000</v>
      </c>
      <c r="N61" s="6">
        <v>11010</v>
      </c>
      <c r="O61" s="6" t="s">
        <v>24</v>
      </c>
      <c r="P61" s="6" t="s">
        <v>163</v>
      </c>
      <c r="Q61" s="6" t="s">
        <v>26</v>
      </c>
    </row>
    <row r="62" spans="1:17" x14ac:dyDescent="0.3">
      <c r="A62" s="6" t="s">
        <v>240</v>
      </c>
      <c r="B62" s="7">
        <v>45694</v>
      </c>
      <c r="C62" s="6" t="s">
        <v>241</v>
      </c>
      <c r="D62" s="6" t="s">
        <v>242</v>
      </c>
      <c r="E62" s="6" t="s">
        <v>36</v>
      </c>
      <c r="F62" s="6" t="s">
        <v>36</v>
      </c>
      <c r="G62" s="6" t="s">
        <v>22</v>
      </c>
      <c r="H62" s="6" t="s">
        <v>49</v>
      </c>
      <c r="I62" s="6">
        <v>4</v>
      </c>
      <c r="J62" s="8">
        <v>1238200</v>
      </c>
      <c r="K62" s="9">
        <v>0.15</v>
      </c>
      <c r="L62" s="10">
        <v>4209880</v>
      </c>
      <c r="M62" s="6">
        <v>3800000</v>
      </c>
      <c r="N62" s="6">
        <v>409880</v>
      </c>
      <c r="O62" s="6" t="s">
        <v>24</v>
      </c>
      <c r="P62" s="6" t="s">
        <v>90</v>
      </c>
      <c r="Q62" s="6" t="s">
        <v>26</v>
      </c>
    </row>
    <row r="63" spans="1:17" x14ac:dyDescent="0.3">
      <c r="A63" s="6" t="s">
        <v>243</v>
      </c>
      <c r="B63" s="7">
        <v>45694</v>
      </c>
      <c r="C63" s="6" t="s">
        <v>244</v>
      </c>
      <c r="D63" s="6" t="s">
        <v>245</v>
      </c>
      <c r="E63" s="6" t="s">
        <v>20</v>
      </c>
      <c r="F63" s="6" t="s">
        <v>20</v>
      </c>
      <c r="G63" s="6" t="s">
        <v>78</v>
      </c>
      <c r="H63" s="6" t="s">
        <v>79</v>
      </c>
      <c r="I63" s="6">
        <v>1</v>
      </c>
      <c r="J63" s="8">
        <v>29800</v>
      </c>
      <c r="K63" s="9">
        <v>0.1</v>
      </c>
      <c r="L63" s="10">
        <v>26820</v>
      </c>
      <c r="M63" s="6">
        <v>18000</v>
      </c>
      <c r="N63" s="6">
        <v>8820</v>
      </c>
      <c r="O63" s="6" t="s">
        <v>104</v>
      </c>
      <c r="P63" s="6" t="s">
        <v>163</v>
      </c>
      <c r="Q63" s="6" t="s">
        <v>26</v>
      </c>
    </row>
    <row r="64" spans="1:17" x14ac:dyDescent="0.3">
      <c r="A64" s="6" t="s">
        <v>246</v>
      </c>
      <c r="B64" s="7">
        <v>45694</v>
      </c>
      <c r="C64" s="6" t="s">
        <v>247</v>
      </c>
      <c r="D64" s="6" t="s">
        <v>248</v>
      </c>
      <c r="E64" s="6" t="s">
        <v>30</v>
      </c>
      <c r="F64" s="6" t="s">
        <v>159</v>
      </c>
      <c r="G64" s="6" t="s">
        <v>78</v>
      </c>
      <c r="H64" s="6" t="s">
        <v>115</v>
      </c>
      <c r="I64" s="6">
        <v>6</v>
      </c>
      <c r="J64" s="8">
        <v>92500</v>
      </c>
      <c r="K64" s="9">
        <v>0</v>
      </c>
      <c r="L64" s="10">
        <v>555000</v>
      </c>
      <c r="M64" s="6">
        <v>348000</v>
      </c>
      <c r="N64" s="6">
        <v>207000</v>
      </c>
      <c r="O64" s="6" t="s">
        <v>104</v>
      </c>
      <c r="P64" s="6" t="s">
        <v>74</v>
      </c>
      <c r="Q64" s="6" t="s">
        <v>26</v>
      </c>
    </row>
    <row r="65" spans="1:17" x14ac:dyDescent="0.3">
      <c r="A65" s="6" t="s">
        <v>249</v>
      </c>
      <c r="B65" s="7">
        <v>45696</v>
      </c>
      <c r="C65" s="6" t="s">
        <v>250</v>
      </c>
      <c r="D65" s="6" t="s">
        <v>251</v>
      </c>
      <c r="E65" s="6" t="s">
        <v>20</v>
      </c>
      <c r="F65" s="6" t="s">
        <v>21</v>
      </c>
      <c r="G65" s="6" t="s">
        <v>38</v>
      </c>
      <c r="H65" s="6" t="s">
        <v>127</v>
      </c>
      <c r="I65" s="6">
        <v>4</v>
      </c>
      <c r="J65" s="8">
        <v>229400</v>
      </c>
      <c r="K65" s="9">
        <v>0.05</v>
      </c>
      <c r="L65" s="10">
        <v>0</v>
      </c>
      <c r="M65" s="6">
        <v>0</v>
      </c>
      <c r="N65" s="6">
        <v>0</v>
      </c>
      <c r="O65" s="6" t="s">
        <v>68</v>
      </c>
      <c r="P65" s="6" t="s">
        <v>25</v>
      </c>
      <c r="Q65" s="6" t="s">
        <v>69</v>
      </c>
    </row>
    <row r="66" spans="1:17" x14ac:dyDescent="0.3">
      <c r="A66" s="6" t="s">
        <v>252</v>
      </c>
      <c r="B66" s="7">
        <v>45697</v>
      </c>
      <c r="C66" s="6" t="s">
        <v>253</v>
      </c>
      <c r="D66" s="6" t="s">
        <v>254</v>
      </c>
      <c r="E66" s="6" t="s">
        <v>87</v>
      </c>
      <c r="F66" s="6" t="s">
        <v>135</v>
      </c>
      <c r="G66" s="6" t="s">
        <v>22</v>
      </c>
      <c r="H66" s="6" t="s">
        <v>58</v>
      </c>
      <c r="I66" s="6">
        <v>4</v>
      </c>
      <c r="J66" s="8">
        <v>93100</v>
      </c>
      <c r="K66" s="9">
        <v>0.02</v>
      </c>
      <c r="L66" s="10">
        <v>364952</v>
      </c>
      <c r="M66" s="6">
        <v>220000</v>
      </c>
      <c r="N66" s="6">
        <v>144952</v>
      </c>
      <c r="O66" s="6" t="s">
        <v>68</v>
      </c>
      <c r="P66" s="6" t="s">
        <v>63</v>
      </c>
      <c r="Q66" s="6" t="s">
        <v>26</v>
      </c>
    </row>
    <row r="67" spans="1:17" x14ac:dyDescent="0.3">
      <c r="A67" s="6" t="s">
        <v>255</v>
      </c>
      <c r="B67" s="7">
        <v>45697</v>
      </c>
      <c r="C67" s="6" t="s">
        <v>256</v>
      </c>
      <c r="D67" s="6" t="s">
        <v>257</v>
      </c>
      <c r="E67" s="6" t="s">
        <v>36</v>
      </c>
      <c r="F67" s="6" t="s">
        <v>37</v>
      </c>
      <c r="G67" s="6" t="s">
        <v>22</v>
      </c>
      <c r="H67" s="6" t="s">
        <v>49</v>
      </c>
      <c r="I67" s="6">
        <v>6</v>
      </c>
      <c r="J67" s="8">
        <v>1175300</v>
      </c>
      <c r="K67" s="9">
        <v>0.05</v>
      </c>
      <c r="L67" s="10">
        <v>6699210</v>
      </c>
      <c r="M67" s="6">
        <v>5700000</v>
      </c>
      <c r="N67" s="6">
        <v>999210</v>
      </c>
      <c r="O67" s="6" t="s">
        <v>24</v>
      </c>
      <c r="P67" s="6" t="s">
        <v>32</v>
      </c>
      <c r="Q67" s="6" t="s">
        <v>26</v>
      </c>
    </row>
    <row r="68" spans="1:17" x14ac:dyDescent="0.3">
      <c r="A68" s="6" t="s">
        <v>258</v>
      </c>
      <c r="B68" s="7">
        <v>45699</v>
      </c>
      <c r="C68" s="6" t="s">
        <v>259</v>
      </c>
      <c r="D68" s="6" t="s">
        <v>260</v>
      </c>
      <c r="E68" s="6" t="s">
        <v>36</v>
      </c>
      <c r="F68" s="6" t="s">
        <v>155</v>
      </c>
      <c r="G68" s="6" t="s">
        <v>44</v>
      </c>
      <c r="H68" s="6" t="s">
        <v>73</v>
      </c>
      <c r="I68" s="6">
        <v>4</v>
      </c>
      <c r="J68" s="8">
        <v>319700</v>
      </c>
      <c r="K68" s="9">
        <v>0.02</v>
      </c>
      <c r="L68" s="10">
        <v>1253224</v>
      </c>
      <c r="M68" s="6">
        <v>840000</v>
      </c>
      <c r="N68" s="6">
        <v>413224</v>
      </c>
      <c r="O68" s="6" t="s">
        <v>104</v>
      </c>
      <c r="P68" s="6" t="s">
        <v>54</v>
      </c>
      <c r="Q68" s="6" t="s">
        <v>26</v>
      </c>
    </row>
    <row r="69" spans="1:17" x14ac:dyDescent="0.3">
      <c r="A69" s="6" t="s">
        <v>261</v>
      </c>
      <c r="B69" s="7">
        <v>45699</v>
      </c>
      <c r="C69" s="6" t="s">
        <v>262</v>
      </c>
      <c r="D69" s="6" t="s">
        <v>263</v>
      </c>
      <c r="E69" s="6" t="s">
        <v>67</v>
      </c>
      <c r="F69" s="6" t="s">
        <v>236</v>
      </c>
      <c r="G69" s="6" t="s">
        <v>38</v>
      </c>
      <c r="H69" s="6" t="s">
        <v>214</v>
      </c>
      <c r="I69" s="6">
        <v>6</v>
      </c>
      <c r="J69" s="8">
        <v>48600</v>
      </c>
      <c r="K69" s="9">
        <v>0.05</v>
      </c>
      <c r="L69" s="10">
        <v>277020</v>
      </c>
      <c r="M69" s="6">
        <v>156000</v>
      </c>
      <c r="N69" s="6">
        <v>121020</v>
      </c>
      <c r="O69" s="6" t="s">
        <v>68</v>
      </c>
      <c r="P69" s="6" t="s">
        <v>63</v>
      </c>
      <c r="Q69" s="6" t="s">
        <v>26</v>
      </c>
    </row>
    <row r="70" spans="1:17" x14ac:dyDescent="0.3">
      <c r="A70" s="6" t="s">
        <v>264</v>
      </c>
      <c r="B70" s="7">
        <v>45699</v>
      </c>
      <c r="C70" s="6" t="s">
        <v>265</v>
      </c>
      <c r="D70" s="6" t="s">
        <v>266</v>
      </c>
      <c r="E70" s="6" t="s">
        <v>20</v>
      </c>
      <c r="F70" s="6" t="s">
        <v>21</v>
      </c>
      <c r="G70" s="6" t="s">
        <v>22</v>
      </c>
      <c r="H70" s="6" t="s">
        <v>58</v>
      </c>
      <c r="I70" s="6">
        <v>7</v>
      </c>
      <c r="J70" s="8">
        <v>93200</v>
      </c>
      <c r="K70" s="9">
        <v>0.05</v>
      </c>
      <c r="L70" s="10">
        <v>619780</v>
      </c>
      <c r="M70" s="6">
        <v>385000</v>
      </c>
      <c r="N70" s="6">
        <v>234780</v>
      </c>
      <c r="O70" s="6" t="s">
        <v>31</v>
      </c>
      <c r="P70" s="6" t="s">
        <v>63</v>
      </c>
      <c r="Q70" s="6" t="s">
        <v>26</v>
      </c>
    </row>
    <row r="71" spans="1:17" x14ac:dyDescent="0.3">
      <c r="A71" s="6" t="s">
        <v>267</v>
      </c>
      <c r="B71" s="7">
        <v>45700</v>
      </c>
      <c r="C71" s="6" t="s">
        <v>268</v>
      </c>
      <c r="D71" s="6" t="s">
        <v>269</v>
      </c>
      <c r="E71" s="6" t="s">
        <v>67</v>
      </c>
      <c r="F71" s="6" t="s">
        <v>236</v>
      </c>
      <c r="G71" s="6" t="s">
        <v>44</v>
      </c>
      <c r="H71" s="6" t="s">
        <v>45</v>
      </c>
      <c r="I71" s="6">
        <v>3</v>
      </c>
      <c r="J71" s="8">
        <v>479900</v>
      </c>
      <c r="K71" s="9">
        <v>0</v>
      </c>
      <c r="L71" s="10">
        <v>1439700</v>
      </c>
      <c r="M71" s="6">
        <v>1095000</v>
      </c>
      <c r="N71" s="6">
        <v>344700</v>
      </c>
      <c r="O71" s="6" t="s">
        <v>31</v>
      </c>
      <c r="P71" s="6" t="s">
        <v>74</v>
      </c>
      <c r="Q71" s="6" t="s">
        <v>26</v>
      </c>
    </row>
    <row r="72" spans="1:17" x14ac:dyDescent="0.3">
      <c r="A72" s="6" t="s">
        <v>270</v>
      </c>
      <c r="B72" s="7">
        <v>45700</v>
      </c>
      <c r="C72" s="6" t="s">
        <v>271</v>
      </c>
      <c r="D72" s="6" t="s">
        <v>272</v>
      </c>
      <c r="E72" s="6" t="s">
        <v>67</v>
      </c>
      <c r="F72" s="6" t="s">
        <v>236</v>
      </c>
      <c r="G72" s="6" t="s">
        <v>44</v>
      </c>
      <c r="H72" s="6" t="s">
        <v>89</v>
      </c>
      <c r="I72" s="6">
        <v>2</v>
      </c>
      <c r="J72" s="8">
        <v>178200</v>
      </c>
      <c r="K72" s="9">
        <v>0.02</v>
      </c>
      <c r="L72" s="10">
        <v>349272</v>
      </c>
      <c r="M72" s="6">
        <v>230000</v>
      </c>
      <c r="N72" s="6">
        <v>119272</v>
      </c>
      <c r="O72" s="6" t="s">
        <v>104</v>
      </c>
      <c r="P72" s="6" t="s">
        <v>90</v>
      </c>
      <c r="Q72" s="6" t="s">
        <v>26</v>
      </c>
    </row>
    <row r="73" spans="1:17" x14ac:dyDescent="0.3">
      <c r="A73" s="6" t="s">
        <v>273</v>
      </c>
      <c r="B73" s="7">
        <v>45700</v>
      </c>
      <c r="C73" s="6" t="s">
        <v>274</v>
      </c>
      <c r="D73" s="6" t="s">
        <v>275</v>
      </c>
      <c r="E73" s="6" t="s">
        <v>20</v>
      </c>
      <c r="F73" s="6" t="s">
        <v>21</v>
      </c>
      <c r="G73" s="6" t="s">
        <v>38</v>
      </c>
      <c r="H73" s="6" t="s">
        <v>214</v>
      </c>
      <c r="I73" s="6">
        <v>6</v>
      </c>
      <c r="J73" s="8">
        <v>43000</v>
      </c>
      <c r="K73" s="9">
        <v>0.1</v>
      </c>
      <c r="L73" s="10">
        <v>232200</v>
      </c>
      <c r="M73" s="6">
        <v>156000</v>
      </c>
      <c r="N73" s="6">
        <v>76200</v>
      </c>
      <c r="O73" s="6" t="s">
        <v>31</v>
      </c>
      <c r="P73" s="6" t="s">
        <v>63</v>
      </c>
      <c r="Q73" s="6" t="s">
        <v>26</v>
      </c>
    </row>
    <row r="74" spans="1:17" x14ac:dyDescent="0.3">
      <c r="A74" s="6" t="s">
        <v>276</v>
      </c>
      <c r="B74" s="7">
        <v>45700</v>
      </c>
      <c r="C74" s="6" t="s">
        <v>277</v>
      </c>
      <c r="D74" s="6" t="s">
        <v>278</v>
      </c>
      <c r="E74" s="6" t="s">
        <v>36</v>
      </c>
      <c r="F74" s="6" t="s">
        <v>155</v>
      </c>
      <c r="G74" s="6" t="s">
        <v>38</v>
      </c>
      <c r="H74" s="6" t="s">
        <v>127</v>
      </c>
      <c r="I74" s="6">
        <v>6</v>
      </c>
      <c r="J74" s="8">
        <v>241600</v>
      </c>
      <c r="K74" s="9">
        <v>0.08</v>
      </c>
      <c r="L74" s="10">
        <v>1333632</v>
      </c>
      <c r="M74" s="6">
        <v>990000</v>
      </c>
      <c r="N74" s="6">
        <v>343632</v>
      </c>
      <c r="O74" s="6" t="s">
        <v>104</v>
      </c>
      <c r="P74" s="6" t="s">
        <v>163</v>
      </c>
      <c r="Q74" s="6" t="s">
        <v>26</v>
      </c>
    </row>
    <row r="75" spans="1:17" x14ac:dyDescent="0.3">
      <c r="A75" s="6" t="s">
        <v>279</v>
      </c>
      <c r="B75" s="7">
        <v>45700</v>
      </c>
      <c r="C75" s="6" t="s">
        <v>280</v>
      </c>
      <c r="D75" s="6" t="s">
        <v>281</v>
      </c>
      <c r="E75" s="6" t="s">
        <v>20</v>
      </c>
      <c r="F75" s="6" t="s">
        <v>20</v>
      </c>
      <c r="G75" s="6" t="s">
        <v>22</v>
      </c>
      <c r="H75" s="6" t="s">
        <v>83</v>
      </c>
      <c r="I75" s="6">
        <v>2</v>
      </c>
      <c r="J75" s="8">
        <v>602100</v>
      </c>
      <c r="K75" s="9">
        <v>0.05</v>
      </c>
      <c r="L75" s="10">
        <v>1143990</v>
      </c>
      <c r="M75" s="6">
        <v>940000</v>
      </c>
      <c r="N75" s="6">
        <v>203990</v>
      </c>
      <c r="O75" s="6" t="s">
        <v>68</v>
      </c>
      <c r="P75" s="6" t="s">
        <v>119</v>
      </c>
      <c r="Q75" s="6" t="s">
        <v>26</v>
      </c>
    </row>
    <row r="76" spans="1:17" x14ac:dyDescent="0.3">
      <c r="A76" s="6" t="s">
        <v>282</v>
      </c>
      <c r="B76" s="7">
        <v>45700</v>
      </c>
      <c r="C76" s="6" t="s">
        <v>283</v>
      </c>
      <c r="D76" s="6" t="s">
        <v>284</v>
      </c>
      <c r="E76" s="6" t="s">
        <v>20</v>
      </c>
      <c r="F76" s="6" t="s">
        <v>62</v>
      </c>
      <c r="G76" s="6" t="s">
        <v>38</v>
      </c>
      <c r="H76" s="6" t="s">
        <v>214</v>
      </c>
      <c r="I76" s="6">
        <v>3</v>
      </c>
      <c r="J76" s="8">
        <v>44800</v>
      </c>
      <c r="K76" s="9">
        <v>0.05</v>
      </c>
      <c r="L76" s="10">
        <v>127680</v>
      </c>
      <c r="M76" s="6">
        <v>78000</v>
      </c>
      <c r="N76" s="6">
        <v>49680</v>
      </c>
      <c r="O76" s="6" t="s">
        <v>24</v>
      </c>
      <c r="P76" s="6" t="s">
        <v>163</v>
      </c>
      <c r="Q76" s="6" t="s">
        <v>26</v>
      </c>
    </row>
    <row r="77" spans="1:17" x14ac:dyDescent="0.3">
      <c r="A77" s="6" t="s">
        <v>285</v>
      </c>
      <c r="B77" s="7">
        <v>45700</v>
      </c>
      <c r="C77" s="6" t="s">
        <v>286</v>
      </c>
      <c r="D77" s="6" t="s">
        <v>287</v>
      </c>
      <c r="E77" s="6" t="s">
        <v>36</v>
      </c>
      <c r="F77" s="6" t="s">
        <v>155</v>
      </c>
      <c r="G77" s="6" t="s">
        <v>22</v>
      </c>
      <c r="H77" s="6" t="s">
        <v>23</v>
      </c>
      <c r="I77" s="6">
        <v>5</v>
      </c>
      <c r="J77" s="8">
        <v>438900</v>
      </c>
      <c r="K77" s="9">
        <v>0.05</v>
      </c>
      <c r="L77" s="10">
        <v>2084775</v>
      </c>
      <c r="M77" s="6">
        <v>1500000</v>
      </c>
      <c r="N77" s="6">
        <v>584775</v>
      </c>
      <c r="O77" s="6" t="s">
        <v>104</v>
      </c>
      <c r="P77" s="6" t="s">
        <v>119</v>
      </c>
      <c r="Q77" s="6" t="s">
        <v>26</v>
      </c>
    </row>
    <row r="78" spans="1:17" x14ac:dyDescent="0.3">
      <c r="A78" s="6" t="s">
        <v>288</v>
      </c>
      <c r="B78" s="7">
        <v>45700</v>
      </c>
      <c r="C78" s="6" t="s">
        <v>256</v>
      </c>
      <c r="D78" s="6" t="s">
        <v>257</v>
      </c>
      <c r="E78" s="6" t="s">
        <v>67</v>
      </c>
      <c r="F78" s="6" t="s">
        <v>236</v>
      </c>
      <c r="G78" s="6" t="s">
        <v>22</v>
      </c>
      <c r="H78" s="6" t="s">
        <v>83</v>
      </c>
      <c r="I78" s="6">
        <v>6</v>
      </c>
      <c r="J78" s="8">
        <v>618500</v>
      </c>
      <c r="K78" s="9">
        <v>0</v>
      </c>
      <c r="L78" s="10">
        <v>3711000</v>
      </c>
      <c r="M78" s="6">
        <v>2820000</v>
      </c>
      <c r="N78" s="6">
        <v>891000</v>
      </c>
      <c r="O78" s="6" t="s">
        <v>31</v>
      </c>
      <c r="P78" s="6" t="s">
        <v>32</v>
      </c>
      <c r="Q78" s="6" t="s">
        <v>26</v>
      </c>
    </row>
    <row r="79" spans="1:17" x14ac:dyDescent="0.3">
      <c r="A79" s="6" t="s">
        <v>289</v>
      </c>
      <c r="B79" s="7">
        <v>45700</v>
      </c>
      <c r="C79" s="6" t="s">
        <v>290</v>
      </c>
      <c r="D79" s="6" t="s">
        <v>291</v>
      </c>
      <c r="E79" s="6" t="s">
        <v>20</v>
      </c>
      <c r="F79" s="6" t="s">
        <v>21</v>
      </c>
      <c r="G79" s="6" t="s">
        <v>22</v>
      </c>
      <c r="H79" s="6" t="s">
        <v>49</v>
      </c>
      <c r="I79" s="6">
        <v>3</v>
      </c>
      <c r="J79" s="8">
        <v>1261900</v>
      </c>
      <c r="K79" s="9">
        <v>0.02</v>
      </c>
      <c r="L79" s="10">
        <v>3709986</v>
      </c>
      <c r="M79" s="6">
        <v>2850000</v>
      </c>
      <c r="N79" s="6">
        <v>859986</v>
      </c>
      <c r="O79" s="6" t="s">
        <v>31</v>
      </c>
      <c r="P79" s="6" t="s">
        <v>119</v>
      </c>
      <c r="Q79" s="6" t="s">
        <v>26</v>
      </c>
    </row>
    <row r="80" spans="1:17" x14ac:dyDescent="0.3">
      <c r="A80" s="6" t="s">
        <v>292</v>
      </c>
      <c r="B80" s="7">
        <v>45701</v>
      </c>
      <c r="C80" s="6" t="s">
        <v>293</v>
      </c>
      <c r="D80" s="6" t="s">
        <v>294</v>
      </c>
      <c r="E80" s="6" t="s">
        <v>20</v>
      </c>
      <c r="F80" s="6" t="s">
        <v>21</v>
      </c>
      <c r="G80" s="6" t="s">
        <v>38</v>
      </c>
      <c r="H80" s="6" t="s">
        <v>214</v>
      </c>
      <c r="I80" s="6">
        <v>7</v>
      </c>
      <c r="J80" s="8">
        <v>48600</v>
      </c>
      <c r="K80" s="9">
        <v>0</v>
      </c>
      <c r="L80" s="10">
        <v>-340200</v>
      </c>
      <c r="M80" s="6">
        <v>-182000</v>
      </c>
      <c r="N80" s="6">
        <v>-158200</v>
      </c>
      <c r="O80" s="6" t="s">
        <v>68</v>
      </c>
      <c r="P80" s="6" t="s">
        <v>54</v>
      </c>
      <c r="Q80" s="6" t="s">
        <v>105</v>
      </c>
    </row>
    <row r="81" spans="1:17" x14ac:dyDescent="0.3">
      <c r="A81" s="6" t="s">
        <v>295</v>
      </c>
      <c r="B81" s="7">
        <v>45703</v>
      </c>
      <c r="C81" s="6" t="s">
        <v>296</v>
      </c>
      <c r="D81" s="6" t="s">
        <v>297</v>
      </c>
      <c r="E81" s="6" t="s">
        <v>36</v>
      </c>
      <c r="F81" s="6" t="s">
        <v>37</v>
      </c>
      <c r="G81" s="6" t="s">
        <v>44</v>
      </c>
      <c r="H81" s="6" t="s">
        <v>73</v>
      </c>
      <c r="I81" s="6">
        <v>7</v>
      </c>
      <c r="J81" s="8">
        <v>295200</v>
      </c>
      <c r="K81" s="9">
        <v>0.05</v>
      </c>
      <c r="L81" s="10">
        <v>1963080</v>
      </c>
      <c r="M81" s="6">
        <v>1470000</v>
      </c>
      <c r="N81" s="6">
        <v>493080</v>
      </c>
      <c r="O81" s="6" t="s">
        <v>68</v>
      </c>
      <c r="P81" s="6" t="s">
        <v>74</v>
      </c>
      <c r="Q81" s="6" t="s">
        <v>26</v>
      </c>
    </row>
    <row r="82" spans="1:17" x14ac:dyDescent="0.3">
      <c r="A82" s="6" t="s">
        <v>298</v>
      </c>
      <c r="B82" s="7">
        <v>45703</v>
      </c>
      <c r="C82" s="6" t="s">
        <v>274</v>
      </c>
      <c r="D82" s="6" t="s">
        <v>275</v>
      </c>
      <c r="E82" s="6" t="s">
        <v>20</v>
      </c>
      <c r="F82" s="6" t="s">
        <v>62</v>
      </c>
      <c r="G82" s="6" t="s">
        <v>38</v>
      </c>
      <c r="H82" s="6" t="s">
        <v>127</v>
      </c>
      <c r="I82" s="6">
        <v>4</v>
      </c>
      <c r="J82" s="8">
        <v>234100</v>
      </c>
      <c r="K82" s="9">
        <v>0.08</v>
      </c>
      <c r="L82" s="10">
        <v>-861488</v>
      </c>
      <c r="M82" s="6">
        <v>-660000</v>
      </c>
      <c r="N82" s="6">
        <v>-201488</v>
      </c>
      <c r="O82" s="6" t="s">
        <v>40</v>
      </c>
      <c r="P82" s="6" t="s">
        <v>90</v>
      </c>
      <c r="Q82" s="6" t="s">
        <v>105</v>
      </c>
    </row>
    <row r="83" spans="1:17" x14ac:dyDescent="0.3">
      <c r="A83" s="6" t="s">
        <v>299</v>
      </c>
      <c r="B83" s="7">
        <v>45703</v>
      </c>
      <c r="C83" s="6" t="s">
        <v>300</v>
      </c>
      <c r="D83" s="6" t="s">
        <v>301</v>
      </c>
      <c r="E83" s="6" t="s">
        <v>20</v>
      </c>
      <c r="F83" s="6" t="s">
        <v>123</v>
      </c>
      <c r="G83" s="6" t="s">
        <v>22</v>
      </c>
      <c r="H83" s="6" t="s">
        <v>49</v>
      </c>
      <c r="I83" s="6">
        <v>7</v>
      </c>
      <c r="J83" s="8">
        <v>1159200</v>
      </c>
      <c r="K83" s="9">
        <v>0.05</v>
      </c>
      <c r="L83" s="10">
        <v>7708680</v>
      </c>
      <c r="M83" s="6">
        <v>6650000</v>
      </c>
      <c r="N83" s="6">
        <v>1058680</v>
      </c>
      <c r="O83" s="6" t="s">
        <v>24</v>
      </c>
      <c r="P83" s="6" t="s">
        <v>163</v>
      </c>
      <c r="Q83" s="6" t="s">
        <v>26</v>
      </c>
    </row>
    <row r="84" spans="1:17" x14ac:dyDescent="0.3">
      <c r="A84" s="6" t="s">
        <v>302</v>
      </c>
      <c r="B84" s="7">
        <v>45704</v>
      </c>
      <c r="C84" s="6" t="s">
        <v>300</v>
      </c>
      <c r="D84" s="6" t="s">
        <v>301</v>
      </c>
      <c r="E84" s="6" t="s">
        <v>36</v>
      </c>
      <c r="F84" s="6" t="s">
        <v>155</v>
      </c>
      <c r="G84" s="6" t="s">
        <v>38</v>
      </c>
      <c r="H84" s="6" t="s">
        <v>127</v>
      </c>
      <c r="I84" s="6">
        <v>2</v>
      </c>
      <c r="J84" s="8">
        <v>227400</v>
      </c>
      <c r="K84" s="9">
        <v>0.05</v>
      </c>
      <c r="L84" s="10">
        <v>432060</v>
      </c>
      <c r="M84" s="6">
        <v>330000</v>
      </c>
      <c r="N84" s="6">
        <v>102060</v>
      </c>
      <c r="O84" s="6" t="s">
        <v>68</v>
      </c>
      <c r="P84" s="6" t="s">
        <v>63</v>
      </c>
      <c r="Q84" s="6" t="s">
        <v>26</v>
      </c>
    </row>
    <row r="85" spans="1:17" x14ac:dyDescent="0.3">
      <c r="A85" s="6" t="s">
        <v>303</v>
      </c>
      <c r="B85" s="7">
        <v>45705</v>
      </c>
      <c r="C85" s="6" t="s">
        <v>304</v>
      </c>
      <c r="D85" s="6" t="s">
        <v>305</v>
      </c>
      <c r="E85" s="6" t="s">
        <v>20</v>
      </c>
      <c r="F85" s="6" t="s">
        <v>123</v>
      </c>
      <c r="G85" s="6" t="s">
        <v>22</v>
      </c>
      <c r="H85" s="6" t="s">
        <v>83</v>
      </c>
      <c r="I85" s="6">
        <v>1</v>
      </c>
      <c r="J85" s="8">
        <v>620300</v>
      </c>
      <c r="K85" s="9">
        <v>0.02</v>
      </c>
      <c r="L85" s="10">
        <v>607894</v>
      </c>
      <c r="M85" s="6">
        <v>470000</v>
      </c>
      <c r="N85" s="6">
        <v>137894</v>
      </c>
      <c r="O85" s="6" t="s">
        <v>40</v>
      </c>
      <c r="P85" s="6" t="s">
        <v>74</v>
      </c>
      <c r="Q85" s="6" t="s">
        <v>26</v>
      </c>
    </row>
    <row r="86" spans="1:17" x14ac:dyDescent="0.3">
      <c r="A86" s="6" t="s">
        <v>306</v>
      </c>
      <c r="B86" s="7">
        <v>45706</v>
      </c>
      <c r="C86" s="6" t="s">
        <v>304</v>
      </c>
      <c r="D86" s="6" t="s">
        <v>305</v>
      </c>
      <c r="E86" s="6" t="s">
        <v>30</v>
      </c>
      <c r="F86" s="6" t="s">
        <v>222</v>
      </c>
      <c r="G86" s="6" t="s">
        <v>44</v>
      </c>
      <c r="H86" s="6" t="s">
        <v>73</v>
      </c>
      <c r="I86" s="6">
        <v>7</v>
      </c>
      <c r="J86" s="8">
        <v>326100</v>
      </c>
      <c r="K86" s="9">
        <v>0</v>
      </c>
      <c r="L86" s="10">
        <v>-2282700</v>
      </c>
      <c r="M86" s="6">
        <v>-1470000</v>
      </c>
      <c r="N86" s="6">
        <v>-812700</v>
      </c>
      <c r="O86" s="6" t="s">
        <v>104</v>
      </c>
      <c r="P86" s="6" t="s">
        <v>32</v>
      </c>
      <c r="Q86" s="6" t="s">
        <v>105</v>
      </c>
    </row>
    <row r="87" spans="1:17" x14ac:dyDescent="0.3">
      <c r="A87" s="6" t="s">
        <v>307</v>
      </c>
      <c r="B87" s="7">
        <v>45706</v>
      </c>
      <c r="C87" s="6" t="s">
        <v>308</v>
      </c>
      <c r="D87" s="6" t="s">
        <v>309</v>
      </c>
      <c r="E87" s="6" t="s">
        <v>20</v>
      </c>
      <c r="F87" s="6" t="s">
        <v>21</v>
      </c>
      <c r="G87" s="6" t="s">
        <v>38</v>
      </c>
      <c r="H87" s="6" t="s">
        <v>214</v>
      </c>
      <c r="I87" s="6">
        <v>7</v>
      </c>
      <c r="J87" s="8">
        <v>43100</v>
      </c>
      <c r="K87" s="9">
        <v>0.15</v>
      </c>
      <c r="L87" s="10">
        <v>256445</v>
      </c>
      <c r="M87" s="6">
        <v>182000</v>
      </c>
      <c r="N87" s="6">
        <v>74445</v>
      </c>
      <c r="O87" s="6" t="s">
        <v>104</v>
      </c>
      <c r="P87" s="6" t="s">
        <v>163</v>
      </c>
      <c r="Q87" s="6" t="s">
        <v>26</v>
      </c>
    </row>
    <row r="88" spans="1:17" x14ac:dyDescent="0.3">
      <c r="A88" s="6" t="s">
        <v>310</v>
      </c>
      <c r="B88" s="7">
        <v>45707</v>
      </c>
      <c r="C88" s="6" t="s">
        <v>81</v>
      </c>
      <c r="D88" s="6" t="s">
        <v>82</v>
      </c>
      <c r="E88" s="6" t="s">
        <v>20</v>
      </c>
      <c r="F88" s="6" t="s">
        <v>21</v>
      </c>
      <c r="G88" s="6" t="s">
        <v>22</v>
      </c>
      <c r="H88" s="6" t="s">
        <v>83</v>
      </c>
      <c r="I88" s="6">
        <v>3</v>
      </c>
      <c r="J88" s="8">
        <v>668600</v>
      </c>
      <c r="K88" s="9">
        <v>0.05</v>
      </c>
      <c r="L88" s="10">
        <v>1905510</v>
      </c>
      <c r="M88" s="6">
        <v>1410000</v>
      </c>
      <c r="N88" s="6">
        <v>495510</v>
      </c>
      <c r="O88" s="6" t="s">
        <v>104</v>
      </c>
      <c r="P88" s="6" t="s">
        <v>74</v>
      </c>
      <c r="Q88" s="6" t="s">
        <v>26</v>
      </c>
    </row>
    <row r="89" spans="1:17" x14ac:dyDescent="0.3">
      <c r="A89" s="6" t="s">
        <v>311</v>
      </c>
      <c r="B89" s="7">
        <v>45708</v>
      </c>
      <c r="C89" s="6" t="s">
        <v>312</v>
      </c>
      <c r="D89" s="6" t="s">
        <v>313</v>
      </c>
      <c r="E89" s="6" t="s">
        <v>67</v>
      </c>
      <c r="F89" s="6" t="s">
        <v>100</v>
      </c>
      <c r="G89" s="6" t="s">
        <v>38</v>
      </c>
      <c r="H89" s="6" t="s">
        <v>39</v>
      </c>
      <c r="I89" s="6">
        <v>4</v>
      </c>
      <c r="J89" s="8">
        <v>30200</v>
      </c>
      <c r="K89" s="9">
        <v>0.02</v>
      </c>
      <c r="L89" s="10">
        <v>118384</v>
      </c>
      <c r="M89" s="6">
        <v>60000</v>
      </c>
      <c r="N89" s="6">
        <v>58384</v>
      </c>
      <c r="O89" s="6" t="s">
        <v>40</v>
      </c>
      <c r="P89" s="6" t="s">
        <v>54</v>
      </c>
      <c r="Q89" s="6" t="s">
        <v>26</v>
      </c>
    </row>
    <row r="90" spans="1:17" x14ac:dyDescent="0.3">
      <c r="A90" s="6" t="s">
        <v>314</v>
      </c>
      <c r="B90" s="7">
        <v>45708</v>
      </c>
      <c r="C90" s="6" t="s">
        <v>315</v>
      </c>
      <c r="D90" s="6" t="s">
        <v>316</v>
      </c>
      <c r="E90" s="6" t="s">
        <v>20</v>
      </c>
      <c r="F90" s="6" t="s">
        <v>20</v>
      </c>
      <c r="G90" s="6" t="s">
        <v>38</v>
      </c>
      <c r="H90" s="6" t="s">
        <v>39</v>
      </c>
      <c r="I90" s="6">
        <v>2</v>
      </c>
      <c r="J90" s="8">
        <v>26500</v>
      </c>
      <c r="K90" s="9">
        <v>0.05</v>
      </c>
      <c r="L90" s="10">
        <v>50350</v>
      </c>
      <c r="M90" s="6">
        <v>30000</v>
      </c>
      <c r="N90" s="6">
        <v>20350</v>
      </c>
      <c r="O90" s="6" t="s">
        <v>104</v>
      </c>
      <c r="P90" s="6" t="s">
        <v>74</v>
      </c>
      <c r="Q90" s="6" t="s">
        <v>26</v>
      </c>
    </row>
    <row r="91" spans="1:17" x14ac:dyDescent="0.3">
      <c r="A91" s="6" t="s">
        <v>317</v>
      </c>
      <c r="B91" s="7">
        <v>45708</v>
      </c>
      <c r="C91" s="6" t="s">
        <v>133</v>
      </c>
      <c r="D91" s="6" t="s">
        <v>134</v>
      </c>
      <c r="E91" s="6" t="s">
        <v>20</v>
      </c>
      <c r="F91" s="6" t="s">
        <v>123</v>
      </c>
      <c r="G91" s="6" t="s">
        <v>78</v>
      </c>
      <c r="H91" s="6" t="s">
        <v>318</v>
      </c>
      <c r="I91" s="6">
        <v>5</v>
      </c>
      <c r="J91" s="8">
        <v>78300</v>
      </c>
      <c r="K91" s="9">
        <v>0</v>
      </c>
      <c r="L91" s="10">
        <v>391500</v>
      </c>
      <c r="M91" s="6">
        <v>215000</v>
      </c>
      <c r="N91" s="6">
        <v>176500</v>
      </c>
      <c r="O91" s="6" t="s">
        <v>31</v>
      </c>
      <c r="P91" s="6" t="s">
        <v>119</v>
      </c>
      <c r="Q91" s="6" t="s">
        <v>26</v>
      </c>
    </row>
    <row r="92" spans="1:17" x14ac:dyDescent="0.3">
      <c r="A92" s="6" t="s">
        <v>319</v>
      </c>
      <c r="B92" s="7">
        <v>45709</v>
      </c>
      <c r="C92" s="6" t="s">
        <v>98</v>
      </c>
      <c r="D92" s="6" t="s">
        <v>99</v>
      </c>
      <c r="E92" s="6" t="s">
        <v>67</v>
      </c>
      <c r="F92" s="6" t="s">
        <v>100</v>
      </c>
      <c r="G92" s="6" t="s">
        <v>38</v>
      </c>
      <c r="H92" s="6" t="s">
        <v>127</v>
      </c>
      <c r="I92" s="6">
        <v>7</v>
      </c>
      <c r="J92" s="8">
        <v>257600</v>
      </c>
      <c r="K92" s="9">
        <v>0.02</v>
      </c>
      <c r="L92" s="10">
        <v>1767136</v>
      </c>
      <c r="M92" s="6">
        <v>1155000</v>
      </c>
      <c r="N92" s="6">
        <v>612136</v>
      </c>
      <c r="O92" s="6" t="s">
        <v>68</v>
      </c>
      <c r="P92" s="6" t="s">
        <v>32</v>
      </c>
      <c r="Q92" s="6" t="s">
        <v>26</v>
      </c>
    </row>
    <row r="93" spans="1:17" x14ac:dyDescent="0.3">
      <c r="A93" s="6" t="s">
        <v>320</v>
      </c>
      <c r="B93" s="7">
        <v>45711</v>
      </c>
      <c r="C93" s="6" t="s">
        <v>321</v>
      </c>
      <c r="D93" s="6" t="s">
        <v>322</v>
      </c>
      <c r="E93" s="6" t="s">
        <v>87</v>
      </c>
      <c r="F93" s="6" t="s">
        <v>88</v>
      </c>
      <c r="G93" s="6" t="s">
        <v>78</v>
      </c>
      <c r="H93" s="6" t="s">
        <v>79</v>
      </c>
      <c r="I93" s="6">
        <v>1</v>
      </c>
      <c r="J93" s="8">
        <v>30100</v>
      </c>
      <c r="K93" s="9">
        <v>0</v>
      </c>
      <c r="L93" s="10">
        <v>30100</v>
      </c>
      <c r="M93" s="6">
        <v>18000</v>
      </c>
      <c r="N93" s="6">
        <v>12100</v>
      </c>
      <c r="O93" s="6" t="s">
        <v>31</v>
      </c>
      <c r="P93" s="6" t="s">
        <v>25</v>
      </c>
      <c r="Q93" s="6" t="s">
        <v>26</v>
      </c>
    </row>
    <row r="94" spans="1:17" x14ac:dyDescent="0.3">
      <c r="A94" s="6" t="s">
        <v>323</v>
      </c>
      <c r="B94" s="7">
        <v>45711</v>
      </c>
      <c r="C94" s="6" t="s">
        <v>324</v>
      </c>
      <c r="D94" s="6" t="s">
        <v>325</v>
      </c>
      <c r="E94" s="6" t="s">
        <v>36</v>
      </c>
      <c r="F94" s="6" t="s">
        <v>36</v>
      </c>
      <c r="G94" s="6" t="s">
        <v>38</v>
      </c>
      <c r="H94" s="6" t="s">
        <v>214</v>
      </c>
      <c r="I94" s="6">
        <v>3</v>
      </c>
      <c r="J94" s="8">
        <v>46100</v>
      </c>
      <c r="K94" s="9">
        <v>0.15</v>
      </c>
      <c r="L94" s="10">
        <v>117555</v>
      </c>
      <c r="M94" s="6">
        <v>78000</v>
      </c>
      <c r="N94" s="6">
        <v>39555</v>
      </c>
      <c r="O94" s="6" t="s">
        <v>24</v>
      </c>
      <c r="P94" s="6" t="s">
        <v>119</v>
      </c>
      <c r="Q94" s="6" t="s">
        <v>26</v>
      </c>
    </row>
    <row r="95" spans="1:17" x14ac:dyDescent="0.3">
      <c r="A95" s="6" t="s">
        <v>326</v>
      </c>
      <c r="B95" s="7">
        <v>45711</v>
      </c>
      <c r="C95" s="6" t="s">
        <v>327</v>
      </c>
      <c r="D95" s="6" t="s">
        <v>328</v>
      </c>
      <c r="E95" s="6" t="s">
        <v>20</v>
      </c>
      <c r="F95" s="6" t="s">
        <v>62</v>
      </c>
      <c r="G95" s="6" t="s">
        <v>44</v>
      </c>
      <c r="H95" s="6" t="s">
        <v>45</v>
      </c>
      <c r="I95" s="6">
        <v>1</v>
      </c>
      <c r="J95" s="8">
        <v>514500</v>
      </c>
      <c r="K95" s="9">
        <v>0.02</v>
      </c>
      <c r="L95" s="10">
        <v>504210</v>
      </c>
      <c r="M95" s="6">
        <v>365000</v>
      </c>
      <c r="N95" s="6">
        <v>139210</v>
      </c>
      <c r="O95" s="6" t="s">
        <v>40</v>
      </c>
      <c r="P95" s="6" t="s">
        <v>25</v>
      </c>
      <c r="Q95" s="6" t="s">
        <v>26</v>
      </c>
    </row>
    <row r="96" spans="1:17" x14ac:dyDescent="0.3">
      <c r="A96" s="6" t="s">
        <v>329</v>
      </c>
      <c r="B96" s="7">
        <v>45711</v>
      </c>
      <c r="C96" s="6" t="s">
        <v>196</v>
      </c>
      <c r="D96" s="6" t="s">
        <v>197</v>
      </c>
      <c r="E96" s="6" t="s">
        <v>36</v>
      </c>
      <c r="F96" s="6" t="s">
        <v>37</v>
      </c>
      <c r="G96" s="6" t="s">
        <v>78</v>
      </c>
      <c r="H96" s="6" t="s">
        <v>79</v>
      </c>
      <c r="I96" s="6">
        <v>6</v>
      </c>
      <c r="J96" s="8">
        <v>31100</v>
      </c>
      <c r="K96" s="9">
        <v>0.1</v>
      </c>
      <c r="L96" s="10">
        <v>167940</v>
      </c>
      <c r="M96" s="6">
        <v>108000</v>
      </c>
      <c r="N96" s="6">
        <v>59940</v>
      </c>
      <c r="O96" s="6" t="s">
        <v>40</v>
      </c>
      <c r="P96" s="6" t="s">
        <v>163</v>
      </c>
      <c r="Q96" s="6" t="s">
        <v>26</v>
      </c>
    </row>
    <row r="97" spans="1:17" x14ac:dyDescent="0.3">
      <c r="A97" s="6" t="s">
        <v>330</v>
      </c>
      <c r="B97" s="7">
        <v>45712</v>
      </c>
      <c r="C97" s="6" t="s">
        <v>247</v>
      </c>
      <c r="D97" s="6" t="s">
        <v>248</v>
      </c>
      <c r="E97" s="6" t="s">
        <v>30</v>
      </c>
      <c r="F97" s="6" t="s">
        <v>222</v>
      </c>
      <c r="G97" s="6" t="s">
        <v>22</v>
      </c>
      <c r="H97" s="6" t="s">
        <v>58</v>
      </c>
      <c r="I97" s="6">
        <v>1</v>
      </c>
      <c r="J97" s="8">
        <v>91500</v>
      </c>
      <c r="K97" s="9">
        <v>0.05</v>
      </c>
      <c r="L97" s="10">
        <v>86925</v>
      </c>
      <c r="M97" s="6">
        <v>55000</v>
      </c>
      <c r="N97" s="6">
        <v>31925</v>
      </c>
      <c r="O97" s="6" t="s">
        <v>24</v>
      </c>
      <c r="P97" s="6" t="s">
        <v>90</v>
      </c>
      <c r="Q97" s="6" t="s">
        <v>26</v>
      </c>
    </row>
    <row r="98" spans="1:17" x14ac:dyDescent="0.3">
      <c r="A98" s="6" t="s">
        <v>331</v>
      </c>
      <c r="B98" s="7">
        <v>45713</v>
      </c>
      <c r="C98" s="6" t="s">
        <v>34</v>
      </c>
      <c r="D98" s="6" t="s">
        <v>35</v>
      </c>
      <c r="E98" s="6" t="s">
        <v>20</v>
      </c>
      <c r="F98" s="6" t="s">
        <v>123</v>
      </c>
      <c r="G98" s="6" t="s">
        <v>22</v>
      </c>
      <c r="H98" s="6" t="s">
        <v>23</v>
      </c>
      <c r="I98" s="6">
        <v>5</v>
      </c>
      <c r="J98" s="8">
        <v>394600</v>
      </c>
      <c r="K98" s="9">
        <v>0.02</v>
      </c>
      <c r="L98" s="10">
        <v>1933540</v>
      </c>
      <c r="M98" s="6">
        <v>1500000</v>
      </c>
      <c r="N98" s="6">
        <v>433540</v>
      </c>
      <c r="O98" s="6" t="s">
        <v>24</v>
      </c>
      <c r="P98" s="6" t="s">
        <v>54</v>
      </c>
      <c r="Q98" s="6" t="s">
        <v>26</v>
      </c>
    </row>
    <row r="99" spans="1:17" x14ac:dyDescent="0.3">
      <c r="A99" s="6" t="s">
        <v>332</v>
      </c>
      <c r="B99" s="7">
        <v>45714</v>
      </c>
      <c r="C99" s="6" t="s">
        <v>293</v>
      </c>
      <c r="D99" s="6" t="s">
        <v>294</v>
      </c>
      <c r="E99" s="6" t="s">
        <v>20</v>
      </c>
      <c r="F99" s="6" t="s">
        <v>21</v>
      </c>
      <c r="G99" s="6" t="s">
        <v>38</v>
      </c>
      <c r="H99" s="6" t="s">
        <v>39</v>
      </c>
      <c r="I99" s="6">
        <v>7</v>
      </c>
      <c r="J99" s="8">
        <v>27700</v>
      </c>
      <c r="K99" s="9">
        <v>0.1</v>
      </c>
      <c r="L99" s="10">
        <v>174510</v>
      </c>
      <c r="M99" s="6">
        <v>105000</v>
      </c>
      <c r="N99" s="6">
        <v>69510</v>
      </c>
      <c r="O99" s="6" t="s">
        <v>40</v>
      </c>
      <c r="P99" s="6" t="s">
        <v>25</v>
      </c>
      <c r="Q99" s="6" t="s">
        <v>26</v>
      </c>
    </row>
    <row r="100" spans="1:17" x14ac:dyDescent="0.3">
      <c r="A100" s="6" t="s">
        <v>333</v>
      </c>
      <c r="B100" s="7">
        <v>45715</v>
      </c>
      <c r="C100" s="6" t="s">
        <v>180</v>
      </c>
      <c r="D100" s="6" t="s">
        <v>181</v>
      </c>
      <c r="E100" s="6" t="s">
        <v>36</v>
      </c>
      <c r="F100" s="6" t="s">
        <v>155</v>
      </c>
      <c r="G100" s="6" t="s">
        <v>38</v>
      </c>
      <c r="H100" s="6" t="s">
        <v>127</v>
      </c>
      <c r="I100" s="6">
        <v>5</v>
      </c>
      <c r="J100" s="8">
        <v>251400</v>
      </c>
      <c r="K100" s="9">
        <v>0.08</v>
      </c>
      <c r="L100" s="10">
        <v>1156440</v>
      </c>
      <c r="M100" s="6">
        <v>825000</v>
      </c>
      <c r="N100" s="6">
        <v>331440</v>
      </c>
      <c r="O100" s="6" t="s">
        <v>104</v>
      </c>
      <c r="P100" s="6" t="s">
        <v>74</v>
      </c>
      <c r="Q100" s="6" t="s">
        <v>26</v>
      </c>
    </row>
    <row r="101" spans="1:17" x14ac:dyDescent="0.3">
      <c r="A101" s="6" t="s">
        <v>334</v>
      </c>
      <c r="B101" s="7">
        <v>45715</v>
      </c>
      <c r="C101" s="6" t="s">
        <v>129</v>
      </c>
      <c r="D101" s="6" t="s">
        <v>130</v>
      </c>
      <c r="E101" s="6" t="s">
        <v>20</v>
      </c>
      <c r="F101" s="6" t="s">
        <v>21</v>
      </c>
      <c r="G101" s="6" t="s">
        <v>78</v>
      </c>
      <c r="H101" s="6" t="s">
        <v>79</v>
      </c>
      <c r="I101" s="6">
        <v>6</v>
      </c>
      <c r="J101" s="8">
        <v>29900</v>
      </c>
      <c r="K101" s="9">
        <v>0.02</v>
      </c>
      <c r="L101" s="10">
        <v>175812</v>
      </c>
      <c r="M101" s="6">
        <v>108000</v>
      </c>
      <c r="N101" s="6">
        <v>67812</v>
      </c>
      <c r="O101" s="6" t="s">
        <v>104</v>
      </c>
      <c r="P101" s="6" t="s">
        <v>119</v>
      </c>
      <c r="Q101" s="6" t="s">
        <v>26</v>
      </c>
    </row>
    <row r="102" spans="1:17" x14ac:dyDescent="0.3">
      <c r="A102" s="6" t="s">
        <v>335</v>
      </c>
      <c r="B102" s="7">
        <v>45716</v>
      </c>
      <c r="C102" s="6" t="s">
        <v>336</v>
      </c>
      <c r="D102" s="6" t="s">
        <v>337</v>
      </c>
      <c r="E102" s="6" t="s">
        <v>30</v>
      </c>
      <c r="F102" s="6" t="s">
        <v>222</v>
      </c>
      <c r="G102" s="6" t="s">
        <v>22</v>
      </c>
      <c r="H102" s="6" t="s">
        <v>58</v>
      </c>
      <c r="I102" s="6">
        <v>4</v>
      </c>
      <c r="J102" s="8">
        <v>102500</v>
      </c>
      <c r="K102" s="9">
        <v>0.02</v>
      </c>
      <c r="L102" s="10">
        <v>401800</v>
      </c>
      <c r="M102" s="6">
        <v>220000</v>
      </c>
      <c r="N102" s="6">
        <v>181800</v>
      </c>
      <c r="O102" s="6" t="s">
        <v>68</v>
      </c>
      <c r="P102" s="6" t="s">
        <v>32</v>
      </c>
      <c r="Q102" s="6" t="s">
        <v>26</v>
      </c>
    </row>
    <row r="103" spans="1:17" x14ac:dyDescent="0.3">
      <c r="A103" s="6" t="s">
        <v>338</v>
      </c>
      <c r="B103" s="7">
        <v>45717</v>
      </c>
      <c r="C103" s="6" t="s">
        <v>339</v>
      </c>
      <c r="D103" s="6" t="s">
        <v>340</v>
      </c>
      <c r="E103" s="6" t="s">
        <v>67</v>
      </c>
      <c r="F103" s="6" t="s">
        <v>67</v>
      </c>
      <c r="G103" s="6" t="s">
        <v>38</v>
      </c>
      <c r="H103" s="6" t="s">
        <v>53</v>
      </c>
      <c r="I103" s="6">
        <v>4</v>
      </c>
      <c r="J103" s="8">
        <v>362400</v>
      </c>
      <c r="K103" s="9">
        <v>0.08</v>
      </c>
      <c r="L103" s="10">
        <v>1333632</v>
      </c>
      <c r="M103" s="6">
        <v>1120000</v>
      </c>
      <c r="N103" s="6">
        <v>213632</v>
      </c>
      <c r="O103" s="6" t="s">
        <v>68</v>
      </c>
      <c r="P103" s="6" t="s">
        <v>74</v>
      </c>
      <c r="Q103" s="6" t="s">
        <v>26</v>
      </c>
    </row>
    <row r="104" spans="1:17" x14ac:dyDescent="0.3">
      <c r="A104" s="6" t="s">
        <v>341</v>
      </c>
      <c r="B104" s="7">
        <v>45717</v>
      </c>
      <c r="C104" s="6" t="s">
        <v>342</v>
      </c>
      <c r="D104" s="6" t="s">
        <v>343</v>
      </c>
      <c r="E104" s="6" t="s">
        <v>20</v>
      </c>
      <c r="F104" s="6" t="s">
        <v>123</v>
      </c>
      <c r="G104" s="6" t="s">
        <v>22</v>
      </c>
      <c r="H104" s="6" t="s">
        <v>83</v>
      </c>
      <c r="I104" s="6">
        <v>5</v>
      </c>
      <c r="J104" s="8">
        <v>676900</v>
      </c>
      <c r="K104" s="9">
        <v>0</v>
      </c>
      <c r="L104" s="10">
        <v>3384500</v>
      </c>
      <c r="M104" s="6">
        <v>2350000</v>
      </c>
      <c r="N104" s="6">
        <v>1034500</v>
      </c>
      <c r="O104" s="6" t="s">
        <v>40</v>
      </c>
      <c r="P104" s="6" t="s">
        <v>90</v>
      </c>
      <c r="Q104" s="6" t="s">
        <v>26</v>
      </c>
    </row>
    <row r="105" spans="1:17" x14ac:dyDescent="0.3">
      <c r="A105" s="6" t="s">
        <v>344</v>
      </c>
      <c r="B105" s="7">
        <v>45717</v>
      </c>
      <c r="C105" s="6" t="s">
        <v>345</v>
      </c>
      <c r="D105" s="6" t="s">
        <v>346</v>
      </c>
      <c r="E105" s="6" t="s">
        <v>30</v>
      </c>
      <c r="F105" s="6" t="s">
        <v>30</v>
      </c>
      <c r="G105" s="6" t="s">
        <v>44</v>
      </c>
      <c r="H105" s="6" t="s">
        <v>45</v>
      </c>
      <c r="I105" s="6">
        <v>7</v>
      </c>
      <c r="J105" s="8">
        <v>522100</v>
      </c>
      <c r="K105" s="9">
        <v>0.08</v>
      </c>
      <c r="L105" s="10">
        <v>-3362324</v>
      </c>
      <c r="M105" s="6">
        <v>-2555000</v>
      </c>
      <c r="N105" s="6">
        <v>-807324</v>
      </c>
      <c r="O105" s="6" t="s">
        <v>40</v>
      </c>
      <c r="P105" s="6" t="s">
        <v>90</v>
      </c>
      <c r="Q105" s="6" t="s">
        <v>105</v>
      </c>
    </row>
    <row r="106" spans="1:17" x14ac:dyDescent="0.3">
      <c r="A106" s="6" t="s">
        <v>347</v>
      </c>
      <c r="B106" s="7">
        <v>45718</v>
      </c>
      <c r="C106" s="6" t="s">
        <v>186</v>
      </c>
      <c r="D106" s="6" t="s">
        <v>187</v>
      </c>
      <c r="E106" s="6" t="s">
        <v>20</v>
      </c>
      <c r="F106" s="6" t="s">
        <v>123</v>
      </c>
      <c r="G106" s="6" t="s">
        <v>44</v>
      </c>
      <c r="H106" s="6" t="s">
        <v>89</v>
      </c>
      <c r="I106" s="6">
        <v>4</v>
      </c>
      <c r="J106" s="8">
        <v>175600</v>
      </c>
      <c r="K106" s="9">
        <v>0</v>
      </c>
      <c r="L106" s="10">
        <v>702400</v>
      </c>
      <c r="M106" s="6">
        <v>460000</v>
      </c>
      <c r="N106" s="6">
        <v>242400</v>
      </c>
      <c r="O106" s="6" t="s">
        <v>31</v>
      </c>
      <c r="P106" s="6" t="s">
        <v>54</v>
      </c>
      <c r="Q106" s="6" t="s">
        <v>26</v>
      </c>
    </row>
    <row r="107" spans="1:17" x14ac:dyDescent="0.3">
      <c r="A107" s="6" t="s">
        <v>348</v>
      </c>
      <c r="B107" s="7">
        <v>45718</v>
      </c>
      <c r="C107" s="6" t="s">
        <v>349</v>
      </c>
      <c r="D107" s="6" t="s">
        <v>350</v>
      </c>
      <c r="E107" s="6" t="s">
        <v>67</v>
      </c>
      <c r="F107" s="6" t="s">
        <v>100</v>
      </c>
      <c r="G107" s="6" t="s">
        <v>44</v>
      </c>
      <c r="H107" s="6" t="s">
        <v>89</v>
      </c>
      <c r="I107" s="6">
        <v>3</v>
      </c>
      <c r="J107" s="8">
        <v>172700</v>
      </c>
      <c r="K107" s="9">
        <v>0</v>
      </c>
      <c r="L107" s="10">
        <v>518100</v>
      </c>
      <c r="M107" s="6">
        <v>345000</v>
      </c>
      <c r="N107" s="6">
        <v>173100</v>
      </c>
      <c r="O107" s="6" t="s">
        <v>104</v>
      </c>
      <c r="P107" s="6" t="s">
        <v>32</v>
      </c>
      <c r="Q107" s="6" t="s">
        <v>26</v>
      </c>
    </row>
    <row r="108" spans="1:17" x14ac:dyDescent="0.3">
      <c r="A108" s="6" t="s">
        <v>351</v>
      </c>
      <c r="B108" s="7">
        <v>45718</v>
      </c>
      <c r="C108" s="6" t="s">
        <v>137</v>
      </c>
      <c r="D108" s="6" t="s">
        <v>138</v>
      </c>
      <c r="E108" s="6" t="s">
        <v>20</v>
      </c>
      <c r="F108" s="6" t="s">
        <v>62</v>
      </c>
      <c r="G108" s="6" t="s">
        <v>38</v>
      </c>
      <c r="H108" s="6" t="s">
        <v>127</v>
      </c>
      <c r="I108" s="6">
        <v>7</v>
      </c>
      <c r="J108" s="8">
        <v>257100</v>
      </c>
      <c r="K108" s="9">
        <v>0.05</v>
      </c>
      <c r="L108" s="10">
        <v>1709715</v>
      </c>
      <c r="M108" s="6">
        <v>1155000</v>
      </c>
      <c r="N108" s="6">
        <v>554715</v>
      </c>
      <c r="O108" s="6" t="s">
        <v>40</v>
      </c>
      <c r="P108" s="6" t="s">
        <v>54</v>
      </c>
      <c r="Q108" s="6" t="s">
        <v>26</v>
      </c>
    </row>
    <row r="109" spans="1:17" x14ac:dyDescent="0.3">
      <c r="A109" s="6" t="s">
        <v>352</v>
      </c>
      <c r="B109" s="7">
        <v>45718</v>
      </c>
      <c r="C109" s="6" t="s">
        <v>353</v>
      </c>
      <c r="D109" s="6" t="s">
        <v>354</v>
      </c>
      <c r="E109" s="6" t="s">
        <v>20</v>
      </c>
      <c r="F109" s="6" t="s">
        <v>21</v>
      </c>
      <c r="G109" s="6" t="s">
        <v>44</v>
      </c>
      <c r="H109" s="6" t="s">
        <v>89</v>
      </c>
      <c r="I109" s="6">
        <v>6</v>
      </c>
      <c r="J109" s="8">
        <v>193600</v>
      </c>
      <c r="K109" s="9">
        <v>0.02</v>
      </c>
      <c r="L109" s="10">
        <v>1138368</v>
      </c>
      <c r="M109" s="6">
        <v>690000</v>
      </c>
      <c r="N109" s="6">
        <v>448368</v>
      </c>
      <c r="O109" s="6" t="s">
        <v>31</v>
      </c>
      <c r="P109" s="6" t="s">
        <v>54</v>
      </c>
      <c r="Q109" s="6" t="s">
        <v>26</v>
      </c>
    </row>
    <row r="110" spans="1:17" x14ac:dyDescent="0.3">
      <c r="A110" s="6" t="s">
        <v>355</v>
      </c>
      <c r="B110" s="7">
        <v>45719</v>
      </c>
      <c r="C110" s="6" t="s">
        <v>356</v>
      </c>
      <c r="D110" s="6" t="s">
        <v>357</v>
      </c>
      <c r="E110" s="6" t="s">
        <v>67</v>
      </c>
      <c r="F110" s="6" t="s">
        <v>67</v>
      </c>
      <c r="G110" s="6" t="s">
        <v>22</v>
      </c>
      <c r="H110" s="6" t="s">
        <v>58</v>
      </c>
      <c r="I110" s="6">
        <v>2</v>
      </c>
      <c r="J110" s="8">
        <v>99100</v>
      </c>
      <c r="K110" s="9">
        <v>0.05</v>
      </c>
      <c r="L110" s="10">
        <v>188290</v>
      </c>
      <c r="M110" s="6">
        <v>110000</v>
      </c>
      <c r="N110" s="6">
        <v>78290</v>
      </c>
      <c r="O110" s="6" t="s">
        <v>40</v>
      </c>
      <c r="P110" s="6" t="s">
        <v>25</v>
      </c>
      <c r="Q110" s="6" t="s">
        <v>26</v>
      </c>
    </row>
    <row r="111" spans="1:17" x14ac:dyDescent="0.3">
      <c r="A111" s="6" t="s">
        <v>358</v>
      </c>
      <c r="B111" s="7">
        <v>45719</v>
      </c>
      <c r="C111" s="6" t="s">
        <v>359</v>
      </c>
      <c r="D111" s="6" t="s">
        <v>360</v>
      </c>
      <c r="E111" s="6" t="s">
        <v>20</v>
      </c>
      <c r="F111" s="6" t="s">
        <v>21</v>
      </c>
      <c r="G111" s="6" t="s">
        <v>22</v>
      </c>
      <c r="H111" s="6" t="s">
        <v>83</v>
      </c>
      <c r="I111" s="6">
        <v>1</v>
      </c>
      <c r="J111" s="8">
        <v>603900</v>
      </c>
      <c r="K111" s="9">
        <v>0.02</v>
      </c>
      <c r="L111" s="10">
        <v>591822</v>
      </c>
      <c r="M111" s="6">
        <v>470000</v>
      </c>
      <c r="N111" s="6">
        <v>121822</v>
      </c>
      <c r="O111" s="6" t="s">
        <v>104</v>
      </c>
      <c r="P111" s="6" t="s">
        <v>32</v>
      </c>
      <c r="Q111" s="6" t="s">
        <v>26</v>
      </c>
    </row>
    <row r="112" spans="1:17" x14ac:dyDescent="0.3">
      <c r="A112" s="6" t="s">
        <v>361</v>
      </c>
      <c r="B112" s="7">
        <v>45721</v>
      </c>
      <c r="C112" s="6" t="s">
        <v>362</v>
      </c>
      <c r="D112" s="6" t="s">
        <v>363</v>
      </c>
      <c r="E112" s="6" t="s">
        <v>87</v>
      </c>
      <c r="F112" s="6" t="s">
        <v>131</v>
      </c>
      <c r="G112" s="6" t="s">
        <v>22</v>
      </c>
      <c r="H112" s="6" t="s">
        <v>23</v>
      </c>
      <c r="I112" s="6">
        <v>2</v>
      </c>
      <c r="J112" s="8">
        <v>391200</v>
      </c>
      <c r="K112" s="9">
        <v>0</v>
      </c>
      <c r="L112" s="10">
        <v>782400</v>
      </c>
      <c r="M112" s="6">
        <v>600000</v>
      </c>
      <c r="N112" s="6">
        <v>182400</v>
      </c>
      <c r="O112" s="6" t="s">
        <v>24</v>
      </c>
      <c r="P112" s="6" t="s">
        <v>63</v>
      </c>
      <c r="Q112" s="6" t="s">
        <v>26</v>
      </c>
    </row>
    <row r="113" spans="1:17" x14ac:dyDescent="0.3">
      <c r="A113" s="6" t="s">
        <v>364</v>
      </c>
      <c r="B113" s="7">
        <v>45722</v>
      </c>
      <c r="C113" s="6" t="s">
        <v>365</v>
      </c>
      <c r="D113" s="6" t="s">
        <v>366</v>
      </c>
      <c r="E113" s="6" t="s">
        <v>87</v>
      </c>
      <c r="F113" s="6" t="s">
        <v>131</v>
      </c>
      <c r="G113" s="6" t="s">
        <v>22</v>
      </c>
      <c r="H113" s="6" t="s">
        <v>23</v>
      </c>
      <c r="I113" s="6">
        <v>7</v>
      </c>
      <c r="J113" s="8">
        <v>399000</v>
      </c>
      <c r="K113" s="9">
        <v>0.05</v>
      </c>
      <c r="L113" s="10">
        <v>2653350</v>
      </c>
      <c r="M113" s="6">
        <v>2100000</v>
      </c>
      <c r="N113" s="6">
        <v>553350</v>
      </c>
      <c r="O113" s="6" t="s">
        <v>104</v>
      </c>
      <c r="P113" s="6" t="s">
        <v>63</v>
      </c>
      <c r="Q113" s="6" t="s">
        <v>26</v>
      </c>
    </row>
    <row r="114" spans="1:17" x14ac:dyDescent="0.3">
      <c r="A114" s="6" t="s">
        <v>367</v>
      </c>
      <c r="B114" s="7">
        <v>45722</v>
      </c>
      <c r="C114" s="6" t="s">
        <v>117</v>
      </c>
      <c r="D114" s="6" t="s">
        <v>118</v>
      </c>
      <c r="E114" s="6" t="s">
        <v>67</v>
      </c>
      <c r="F114" s="6" t="s">
        <v>100</v>
      </c>
      <c r="G114" s="6" t="s">
        <v>22</v>
      </c>
      <c r="H114" s="6" t="s">
        <v>23</v>
      </c>
      <c r="I114" s="6">
        <v>7</v>
      </c>
      <c r="J114" s="8">
        <v>452300</v>
      </c>
      <c r="K114" s="9">
        <v>0.05</v>
      </c>
      <c r="L114" s="10">
        <v>3007795</v>
      </c>
      <c r="M114" s="6">
        <v>2100000</v>
      </c>
      <c r="N114" s="6">
        <v>907795</v>
      </c>
      <c r="O114" s="6" t="s">
        <v>68</v>
      </c>
      <c r="P114" s="6" t="s">
        <v>119</v>
      </c>
      <c r="Q114" s="6" t="s">
        <v>26</v>
      </c>
    </row>
    <row r="115" spans="1:17" x14ac:dyDescent="0.3">
      <c r="A115" s="6" t="s">
        <v>368</v>
      </c>
      <c r="B115" s="7">
        <v>45723</v>
      </c>
      <c r="C115" s="6" t="s">
        <v>369</v>
      </c>
      <c r="D115" s="6" t="s">
        <v>370</v>
      </c>
      <c r="E115" s="6" t="s">
        <v>87</v>
      </c>
      <c r="F115" s="6" t="s">
        <v>135</v>
      </c>
      <c r="G115" s="6" t="s">
        <v>38</v>
      </c>
      <c r="H115" s="6" t="s">
        <v>53</v>
      </c>
      <c r="I115" s="6">
        <v>2</v>
      </c>
      <c r="J115" s="8">
        <v>365300</v>
      </c>
      <c r="K115" s="9">
        <v>0.05</v>
      </c>
      <c r="L115" s="10">
        <v>694070</v>
      </c>
      <c r="M115" s="6">
        <v>560000</v>
      </c>
      <c r="N115" s="6">
        <v>134070</v>
      </c>
      <c r="O115" s="6" t="s">
        <v>40</v>
      </c>
      <c r="P115" s="6" t="s">
        <v>163</v>
      </c>
      <c r="Q115" s="6" t="s">
        <v>26</v>
      </c>
    </row>
    <row r="116" spans="1:17" x14ac:dyDescent="0.3">
      <c r="A116" s="6" t="s">
        <v>371</v>
      </c>
      <c r="B116" s="7">
        <v>45723</v>
      </c>
      <c r="C116" s="6" t="s">
        <v>372</v>
      </c>
      <c r="D116" s="6" t="s">
        <v>373</v>
      </c>
      <c r="E116" s="6" t="s">
        <v>20</v>
      </c>
      <c r="F116" s="6" t="s">
        <v>20</v>
      </c>
      <c r="G116" s="6" t="s">
        <v>22</v>
      </c>
      <c r="H116" s="6" t="s">
        <v>23</v>
      </c>
      <c r="I116" s="6">
        <v>4</v>
      </c>
      <c r="J116" s="8">
        <v>438500</v>
      </c>
      <c r="K116" s="9">
        <v>0.02</v>
      </c>
      <c r="L116" s="10">
        <v>1718920</v>
      </c>
      <c r="M116" s="6">
        <v>1200000</v>
      </c>
      <c r="N116" s="6">
        <v>518920</v>
      </c>
      <c r="O116" s="6" t="s">
        <v>31</v>
      </c>
      <c r="P116" s="6" t="s">
        <v>74</v>
      </c>
      <c r="Q116" s="6" t="s">
        <v>26</v>
      </c>
    </row>
    <row r="117" spans="1:17" x14ac:dyDescent="0.3">
      <c r="A117" s="6" t="s">
        <v>374</v>
      </c>
      <c r="B117" s="7">
        <v>45723</v>
      </c>
      <c r="C117" s="6" t="s">
        <v>375</v>
      </c>
      <c r="D117" s="6" t="s">
        <v>376</v>
      </c>
      <c r="E117" s="6" t="s">
        <v>20</v>
      </c>
      <c r="F117" s="6" t="s">
        <v>123</v>
      </c>
      <c r="G117" s="6" t="s">
        <v>44</v>
      </c>
      <c r="H117" s="6" t="s">
        <v>89</v>
      </c>
      <c r="I117" s="6">
        <v>4</v>
      </c>
      <c r="J117" s="8">
        <v>169800</v>
      </c>
      <c r="K117" s="9">
        <v>0.08</v>
      </c>
      <c r="L117" s="10">
        <v>624864</v>
      </c>
      <c r="M117" s="6">
        <v>460000</v>
      </c>
      <c r="N117" s="6">
        <v>164864</v>
      </c>
      <c r="O117" s="6" t="s">
        <v>24</v>
      </c>
      <c r="P117" s="6" t="s">
        <v>74</v>
      </c>
      <c r="Q117" s="6" t="s">
        <v>26</v>
      </c>
    </row>
    <row r="118" spans="1:17" x14ac:dyDescent="0.3">
      <c r="A118" s="6" t="s">
        <v>377</v>
      </c>
      <c r="B118" s="7">
        <v>45726</v>
      </c>
      <c r="C118" s="6" t="s">
        <v>378</v>
      </c>
      <c r="D118" s="6" t="s">
        <v>379</v>
      </c>
      <c r="E118" s="6" t="s">
        <v>20</v>
      </c>
      <c r="F118" s="6" t="s">
        <v>123</v>
      </c>
      <c r="G118" s="6" t="s">
        <v>38</v>
      </c>
      <c r="H118" s="6" t="s">
        <v>214</v>
      </c>
      <c r="I118" s="6">
        <v>1</v>
      </c>
      <c r="J118" s="8">
        <v>46300</v>
      </c>
      <c r="K118" s="9">
        <v>0.02</v>
      </c>
      <c r="L118" s="10">
        <v>45374</v>
      </c>
      <c r="M118" s="6">
        <v>26000</v>
      </c>
      <c r="N118" s="6">
        <v>19374</v>
      </c>
      <c r="O118" s="6" t="s">
        <v>24</v>
      </c>
      <c r="P118" s="6" t="s">
        <v>119</v>
      </c>
      <c r="Q118" s="6" t="s">
        <v>26</v>
      </c>
    </row>
    <row r="119" spans="1:17" x14ac:dyDescent="0.3">
      <c r="A119" s="6" t="s">
        <v>380</v>
      </c>
      <c r="B119" s="7">
        <v>45727</v>
      </c>
      <c r="C119" s="6" t="s">
        <v>381</v>
      </c>
      <c r="D119" s="6" t="s">
        <v>382</v>
      </c>
      <c r="E119" s="6" t="s">
        <v>87</v>
      </c>
      <c r="F119" s="6" t="s">
        <v>135</v>
      </c>
      <c r="G119" s="6" t="s">
        <v>22</v>
      </c>
      <c r="H119" s="6" t="s">
        <v>23</v>
      </c>
      <c r="I119" s="6">
        <v>2</v>
      </c>
      <c r="J119" s="8">
        <v>393500</v>
      </c>
      <c r="K119" s="9">
        <v>0.1</v>
      </c>
      <c r="L119" s="10">
        <v>708300</v>
      </c>
      <c r="M119" s="6">
        <v>600000</v>
      </c>
      <c r="N119" s="6">
        <v>108300</v>
      </c>
      <c r="O119" s="6" t="s">
        <v>104</v>
      </c>
      <c r="P119" s="6" t="s">
        <v>25</v>
      </c>
      <c r="Q119" s="6" t="s">
        <v>26</v>
      </c>
    </row>
    <row r="120" spans="1:17" x14ac:dyDescent="0.3">
      <c r="A120" s="6" t="s">
        <v>383</v>
      </c>
      <c r="B120" s="7">
        <v>45727</v>
      </c>
      <c r="C120" s="6" t="s">
        <v>384</v>
      </c>
      <c r="D120" s="6" t="s">
        <v>385</v>
      </c>
      <c r="E120" s="6" t="s">
        <v>36</v>
      </c>
      <c r="F120" s="6" t="s">
        <v>155</v>
      </c>
      <c r="G120" s="6" t="s">
        <v>22</v>
      </c>
      <c r="H120" s="6" t="s">
        <v>49</v>
      </c>
      <c r="I120" s="6">
        <v>7</v>
      </c>
      <c r="J120" s="8">
        <v>1337200</v>
      </c>
      <c r="K120" s="9">
        <v>0.1</v>
      </c>
      <c r="L120" s="10">
        <v>0</v>
      </c>
      <c r="M120" s="6">
        <v>0</v>
      </c>
      <c r="N120" s="6">
        <v>0</v>
      </c>
      <c r="O120" s="6" t="s">
        <v>68</v>
      </c>
      <c r="P120" s="6" t="s">
        <v>63</v>
      </c>
      <c r="Q120" s="6" t="s">
        <v>69</v>
      </c>
    </row>
    <row r="121" spans="1:17" x14ac:dyDescent="0.3">
      <c r="A121" s="6" t="s">
        <v>386</v>
      </c>
      <c r="B121" s="7">
        <v>45728</v>
      </c>
      <c r="C121" s="6" t="s">
        <v>387</v>
      </c>
      <c r="D121" s="6" t="s">
        <v>388</v>
      </c>
      <c r="E121" s="6" t="s">
        <v>20</v>
      </c>
      <c r="F121" s="6" t="s">
        <v>20</v>
      </c>
      <c r="G121" s="6" t="s">
        <v>78</v>
      </c>
      <c r="H121" s="6" t="s">
        <v>115</v>
      </c>
      <c r="I121" s="6">
        <v>6</v>
      </c>
      <c r="J121" s="8">
        <v>90100</v>
      </c>
      <c r="K121" s="9">
        <v>0.05</v>
      </c>
      <c r="L121" s="10">
        <v>513570</v>
      </c>
      <c r="M121" s="6">
        <v>348000</v>
      </c>
      <c r="N121" s="6">
        <v>165570</v>
      </c>
      <c r="O121" s="6" t="s">
        <v>24</v>
      </c>
      <c r="P121" s="6" t="s">
        <v>32</v>
      </c>
      <c r="Q121" s="6" t="s">
        <v>26</v>
      </c>
    </row>
    <row r="122" spans="1:17" x14ac:dyDescent="0.3">
      <c r="A122" s="6" t="s">
        <v>389</v>
      </c>
      <c r="B122" s="7">
        <v>45728</v>
      </c>
      <c r="C122" s="6" t="s">
        <v>390</v>
      </c>
      <c r="D122" s="6" t="s">
        <v>391</v>
      </c>
      <c r="E122" s="6" t="s">
        <v>36</v>
      </c>
      <c r="F122" s="6" t="s">
        <v>37</v>
      </c>
      <c r="G122" s="6" t="s">
        <v>22</v>
      </c>
      <c r="H122" s="6" t="s">
        <v>58</v>
      </c>
      <c r="I122" s="6">
        <v>5</v>
      </c>
      <c r="J122" s="8">
        <v>96400</v>
      </c>
      <c r="K122" s="9">
        <v>0.05</v>
      </c>
      <c r="L122" s="10">
        <v>457900</v>
      </c>
      <c r="M122" s="6">
        <v>275000</v>
      </c>
      <c r="N122" s="6">
        <v>182900</v>
      </c>
      <c r="O122" s="6" t="s">
        <v>68</v>
      </c>
      <c r="P122" s="6" t="s">
        <v>163</v>
      </c>
      <c r="Q122" s="6" t="s">
        <v>26</v>
      </c>
    </row>
    <row r="123" spans="1:17" x14ac:dyDescent="0.3">
      <c r="A123" s="6" t="s">
        <v>392</v>
      </c>
      <c r="B123" s="7">
        <v>45728</v>
      </c>
      <c r="C123" s="6" t="s">
        <v>393</v>
      </c>
      <c r="D123" s="6" t="s">
        <v>394</v>
      </c>
      <c r="E123" s="6" t="s">
        <v>36</v>
      </c>
      <c r="F123" s="6" t="s">
        <v>37</v>
      </c>
      <c r="G123" s="6" t="s">
        <v>38</v>
      </c>
      <c r="H123" s="6" t="s">
        <v>214</v>
      </c>
      <c r="I123" s="6">
        <v>6</v>
      </c>
      <c r="J123" s="8">
        <v>47000</v>
      </c>
      <c r="K123" s="9">
        <v>0.1</v>
      </c>
      <c r="L123" s="10">
        <v>253800</v>
      </c>
      <c r="M123" s="6">
        <v>156000</v>
      </c>
      <c r="N123" s="6">
        <v>97800</v>
      </c>
      <c r="O123" s="6" t="s">
        <v>68</v>
      </c>
      <c r="P123" s="6" t="s">
        <v>119</v>
      </c>
      <c r="Q123" s="6" t="s">
        <v>26</v>
      </c>
    </row>
    <row r="124" spans="1:17" x14ac:dyDescent="0.3">
      <c r="A124" s="6" t="s">
        <v>395</v>
      </c>
      <c r="B124" s="7">
        <v>45728</v>
      </c>
      <c r="C124" s="6" t="s">
        <v>396</v>
      </c>
      <c r="D124" s="6" t="s">
        <v>397</v>
      </c>
      <c r="E124" s="6" t="s">
        <v>30</v>
      </c>
      <c r="F124" s="6" t="s">
        <v>30</v>
      </c>
      <c r="G124" s="6" t="s">
        <v>78</v>
      </c>
      <c r="H124" s="6" t="s">
        <v>188</v>
      </c>
      <c r="I124" s="6">
        <v>3</v>
      </c>
      <c r="J124" s="8">
        <v>89100</v>
      </c>
      <c r="K124" s="9">
        <v>0.08</v>
      </c>
      <c r="L124" s="10">
        <v>245916</v>
      </c>
      <c r="M124" s="6">
        <v>156000</v>
      </c>
      <c r="N124" s="6">
        <v>89916</v>
      </c>
      <c r="O124" s="6" t="s">
        <v>104</v>
      </c>
      <c r="P124" s="6" t="s">
        <v>163</v>
      </c>
      <c r="Q124" s="6" t="s">
        <v>26</v>
      </c>
    </row>
    <row r="125" spans="1:17" x14ac:dyDescent="0.3">
      <c r="A125" s="6" t="s">
        <v>398</v>
      </c>
      <c r="B125" s="7">
        <v>45729</v>
      </c>
      <c r="C125" s="6" t="s">
        <v>399</v>
      </c>
      <c r="D125" s="6" t="s">
        <v>400</v>
      </c>
      <c r="E125" s="6" t="s">
        <v>20</v>
      </c>
      <c r="F125" s="6" t="s">
        <v>62</v>
      </c>
      <c r="G125" s="6" t="s">
        <v>22</v>
      </c>
      <c r="H125" s="6" t="s">
        <v>49</v>
      </c>
      <c r="I125" s="6">
        <v>2</v>
      </c>
      <c r="J125" s="8">
        <v>1269500</v>
      </c>
      <c r="K125" s="9">
        <v>0.08</v>
      </c>
      <c r="L125" s="10">
        <v>2335880</v>
      </c>
      <c r="M125" s="6">
        <v>1900000</v>
      </c>
      <c r="N125" s="6">
        <v>435880</v>
      </c>
      <c r="O125" s="6" t="s">
        <v>104</v>
      </c>
      <c r="P125" s="6" t="s">
        <v>90</v>
      </c>
      <c r="Q125" s="6" t="s">
        <v>26</v>
      </c>
    </row>
    <row r="126" spans="1:17" x14ac:dyDescent="0.3">
      <c r="A126" s="6" t="s">
        <v>401</v>
      </c>
      <c r="B126" s="7">
        <v>45730</v>
      </c>
      <c r="C126" s="6" t="s">
        <v>402</v>
      </c>
      <c r="D126" s="6" t="s">
        <v>403</v>
      </c>
      <c r="E126" s="6" t="s">
        <v>36</v>
      </c>
      <c r="F126" s="6" t="s">
        <v>36</v>
      </c>
      <c r="G126" s="6" t="s">
        <v>22</v>
      </c>
      <c r="H126" s="6" t="s">
        <v>58</v>
      </c>
      <c r="I126" s="6">
        <v>6</v>
      </c>
      <c r="J126" s="8">
        <v>94500</v>
      </c>
      <c r="K126" s="9">
        <v>0.08</v>
      </c>
      <c r="L126" s="10">
        <v>521640</v>
      </c>
      <c r="M126" s="6">
        <v>330000</v>
      </c>
      <c r="N126" s="6">
        <v>191640</v>
      </c>
      <c r="O126" s="6" t="s">
        <v>68</v>
      </c>
      <c r="P126" s="6" t="s">
        <v>163</v>
      </c>
      <c r="Q126" s="6" t="s">
        <v>26</v>
      </c>
    </row>
    <row r="127" spans="1:17" x14ac:dyDescent="0.3">
      <c r="A127" s="6" t="s">
        <v>404</v>
      </c>
      <c r="B127" s="7">
        <v>45732</v>
      </c>
      <c r="C127" s="6" t="s">
        <v>171</v>
      </c>
      <c r="D127" s="6" t="s">
        <v>172</v>
      </c>
      <c r="E127" s="6" t="s">
        <v>20</v>
      </c>
      <c r="F127" s="6" t="s">
        <v>21</v>
      </c>
      <c r="G127" s="6" t="s">
        <v>38</v>
      </c>
      <c r="H127" s="6" t="s">
        <v>214</v>
      </c>
      <c r="I127" s="6">
        <v>6</v>
      </c>
      <c r="J127" s="8">
        <v>45800</v>
      </c>
      <c r="K127" s="9">
        <v>0.05</v>
      </c>
      <c r="L127" s="10">
        <v>261060</v>
      </c>
      <c r="M127" s="6">
        <v>156000</v>
      </c>
      <c r="N127" s="6">
        <v>105060</v>
      </c>
      <c r="O127" s="6" t="s">
        <v>104</v>
      </c>
      <c r="P127" s="6" t="s">
        <v>25</v>
      </c>
      <c r="Q127" s="6" t="s">
        <v>26</v>
      </c>
    </row>
    <row r="128" spans="1:17" x14ac:dyDescent="0.3">
      <c r="A128" s="6" t="s">
        <v>405</v>
      </c>
      <c r="B128" s="7">
        <v>45733</v>
      </c>
      <c r="C128" s="6" t="s">
        <v>406</v>
      </c>
      <c r="D128" s="6" t="s">
        <v>407</v>
      </c>
      <c r="E128" s="6" t="s">
        <v>36</v>
      </c>
      <c r="F128" s="6" t="s">
        <v>37</v>
      </c>
      <c r="G128" s="6" t="s">
        <v>22</v>
      </c>
      <c r="H128" s="6" t="s">
        <v>58</v>
      </c>
      <c r="I128" s="6">
        <v>2</v>
      </c>
      <c r="J128" s="8">
        <v>94600</v>
      </c>
      <c r="K128" s="9">
        <v>0.15</v>
      </c>
      <c r="L128" s="10">
        <v>160820</v>
      </c>
      <c r="M128" s="6">
        <v>110000</v>
      </c>
      <c r="N128" s="6">
        <v>50820</v>
      </c>
      <c r="O128" s="6" t="s">
        <v>40</v>
      </c>
      <c r="P128" s="6" t="s">
        <v>90</v>
      </c>
      <c r="Q128" s="6" t="s">
        <v>26</v>
      </c>
    </row>
    <row r="129" spans="1:17" x14ac:dyDescent="0.3">
      <c r="A129" s="6" t="s">
        <v>408</v>
      </c>
      <c r="B129" s="7">
        <v>45733</v>
      </c>
      <c r="C129" s="6" t="s">
        <v>253</v>
      </c>
      <c r="D129" s="6" t="s">
        <v>254</v>
      </c>
      <c r="E129" s="6" t="s">
        <v>30</v>
      </c>
      <c r="F129" s="6" t="s">
        <v>30</v>
      </c>
      <c r="G129" s="6" t="s">
        <v>78</v>
      </c>
      <c r="H129" s="6" t="s">
        <v>79</v>
      </c>
      <c r="I129" s="6">
        <v>1</v>
      </c>
      <c r="J129" s="8">
        <v>31400</v>
      </c>
      <c r="K129" s="9">
        <v>0</v>
      </c>
      <c r="L129" s="10">
        <v>31400</v>
      </c>
      <c r="M129" s="6">
        <v>18000</v>
      </c>
      <c r="N129" s="6">
        <v>13400</v>
      </c>
      <c r="O129" s="6" t="s">
        <v>24</v>
      </c>
      <c r="P129" s="6" t="s">
        <v>90</v>
      </c>
      <c r="Q129" s="6" t="s">
        <v>26</v>
      </c>
    </row>
    <row r="130" spans="1:17" x14ac:dyDescent="0.3">
      <c r="A130" s="6" t="s">
        <v>409</v>
      </c>
      <c r="B130" s="7">
        <v>45733</v>
      </c>
      <c r="C130" s="6" t="s">
        <v>174</v>
      </c>
      <c r="D130" s="6" t="s">
        <v>175</v>
      </c>
      <c r="E130" s="6" t="s">
        <v>36</v>
      </c>
      <c r="F130" s="6" t="s">
        <v>155</v>
      </c>
      <c r="G130" s="6" t="s">
        <v>44</v>
      </c>
      <c r="H130" s="6" t="s">
        <v>73</v>
      </c>
      <c r="I130" s="6">
        <v>5</v>
      </c>
      <c r="J130" s="8">
        <v>291000</v>
      </c>
      <c r="K130" s="9">
        <v>0</v>
      </c>
      <c r="L130" s="10">
        <v>1455000</v>
      </c>
      <c r="M130" s="6">
        <v>1050000</v>
      </c>
      <c r="N130" s="6">
        <v>405000</v>
      </c>
      <c r="O130" s="6" t="s">
        <v>24</v>
      </c>
      <c r="P130" s="6" t="s">
        <v>54</v>
      </c>
      <c r="Q130" s="6" t="s">
        <v>26</v>
      </c>
    </row>
    <row r="131" spans="1:17" x14ac:dyDescent="0.3">
      <c r="A131" s="6" t="s">
        <v>410</v>
      </c>
      <c r="B131" s="7">
        <v>45734</v>
      </c>
      <c r="C131" s="6" t="s">
        <v>411</v>
      </c>
      <c r="D131" s="6" t="s">
        <v>412</v>
      </c>
      <c r="E131" s="6" t="s">
        <v>30</v>
      </c>
      <c r="F131" s="6" t="s">
        <v>30</v>
      </c>
      <c r="G131" s="6" t="s">
        <v>44</v>
      </c>
      <c r="H131" s="6" t="s">
        <v>73</v>
      </c>
      <c r="I131" s="6">
        <v>2</v>
      </c>
      <c r="J131" s="8">
        <v>312700</v>
      </c>
      <c r="K131" s="9">
        <v>0</v>
      </c>
      <c r="L131" s="10">
        <v>625400</v>
      </c>
      <c r="M131" s="6">
        <v>420000</v>
      </c>
      <c r="N131" s="6">
        <v>205400</v>
      </c>
      <c r="O131" s="6" t="s">
        <v>104</v>
      </c>
      <c r="P131" s="6" t="s">
        <v>32</v>
      </c>
      <c r="Q131" s="6" t="s">
        <v>26</v>
      </c>
    </row>
    <row r="132" spans="1:17" x14ac:dyDescent="0.3">
      <c r="A132" s="6" t="s">
        <v>413</v>
      </c>
      <c r="B132" s="7">
        <v>45735</v>
      </c>
      <c r="C132" s="6" t="s">
        <v>212</v>
      </c>
      <c r="D132" s="6" t="s">
        <v>213</v>
      </c>
      <c r="E132" s="6" t="s">
        <v>36</v>
      </c>
      <c r="F132" s="6" t="s">
        <v>36</v>
      </c>
      <c r="G132" s="6" t="s">
        <v>22</v>
      </c>
      <c r="H132" s="6" t="s">
        <v>23</v>
      </c>
      <c r="I132" s="6">
        <v>3</v>
      </c>
      <c r="J132" s="8">
        <v>434300</v>
      </c>
      <c r="K132" s="9">
        <v>0.1</v>
      </c>
      <c r="L132" s="10">
        <v>1172610</v>
      </c>
      <c r="M132" s="6">
        <v>900000</v>
      </c>
      <c r="N132" s="6">
        <v>272610</v>
      </c>
      <c r="O132" s="6" t="s">
        <v>24</v>
      </c>
      <c r="P132" s="6" t="s">
        <v>25</v>
      </c>
      <c r="Q132" s="6" t="s">
        <v>26</v>
      </c>
    </row>
    <row r="133" spans="1:17" x14ac:dyDescent="0.3">
      <c r="A133" s="6" t="s">
        <v>414</v>
      </c>
      <c r="B133" s="7">
        <v>45736</v>
      </c>
      <c r="C133" s="6" t="s">
        <v>415</v>
      </c>
      <c r="D133" s="6" t="s">
        <v>416</v>
      </c>
      <c r="E133" s="6" t="s">
        <v>30</v>
      </c>
      <c r="F133" s="6" t="s">
        <v>222</v>
      </c>
      <c r="G133" s="6" t="s">
        <v>44</v>
      </c>
      <c r="H133" s="6" t="s">
        <v>89</v>
      </c>
      <c r="I133" s="6">
        <v>5</v>
      </c>
      <c r="J133" s="8">
        <v>186300</v>
      </c>
      <c r="K133" s="9">
        <v>0.02</v>
      </c>
      <c r="L133" s="10">
        <v>-912870</v>
      </c>
      <c r="M133" s="6">
        <v>-575000</v>
      </c>
      <c r="N133" s="6">
        <v>-337870</v>
      </c>
      <c r="O133" s="6" t="s">
        <v>40</v>
      </c>
      <c r="P133" s="6" t="s">
        <v>119</v>
      </c>
      <c r="Q133" s="6" t="s">
        <v>105</v>
      </c>
    </row>
    <row r="134" spans="1:17" x14ac:dyDescent="0.3">
      <c r="A134" s="6" t="s">
        <v>417</v>
      </c>
      <c r="B134" s="7">
        <v>45736</v>
      </c>
      <c r="C134" s="6" t="s">
        <v>418</v>
      </c>
      <c r="D134" s="6" t="s">
        <v>419</v>
      </c>
      <c r="E134" s="6" t="s">
        <v>30</v>
      </c>
      <c r="F134" s="6" t="s">
        <v>30</v>
      </c>
      <c r="G134" s="6" t="s">
        <v>22</v>
      </c>
      <c r="H134" s="6" t="s">
        <v>49</v>
      </c>
      <c r="I134" s="6">
        <v>1</v>
      </c>
      <c r="J134" s="8">
        <v>1333500</v>
      </c>
      <c r="K134" s="9">
        <v>0.1</v>
      </c>
      <c r="L134" s="10">
        <v>1200150</v>
      </c>
      <c r="M134" s="6">
        <v>950000</v>
      </c>
      <c r="N134" s="6">
        <v>250150</v>
      </c>
      <c r="O134" s="6" t="s">
        <v>68</v>
      </c>
      <c r="P134" s="6" t="s">
        <v>74</v>
      </c>
      <c r="Q134" s="6" t="s">
        <v>26</v>
      </c>
    </row>
    <row r="135" spans="1:17" x14ac:dyDescent="0.3">
      <c r="A135" s="6" t="s">
        <v>420</v>
      </c>
      <c r="B135" s="7">
        <v>45736</v>
      </c>
      <c r="C135" s="6" t="s">
        <v>421</v>
      </c>
      <c r="D135" s="6" t="s">
        <v>422</v>
      </c>
      <c r="E135" s="6" t="s">
        <v>36</v>
      </c>
      <c r="F135" s="6" t="s">
        <v>36</v>
      </c>
      <c r="G135" s="6" t="s">
        <v>38</v>
      </c>
      <c r="H135" s="6" t="s">
        <v>214</v>
      </c>
      <c r="I135" s="6">
        <v>3</v>
      </c>
      <c r="J135" s="8">
        <v>46100</v>
      </c>
      <c r="K135" s="9">
        <v>0.05</v>
      </c>
      <c r="L135" s="10">
        <v>131385</v>
      </c>
      <c r="M135" s="6">
        <v>78000</v>
      </c>
      <c r="N135" s="6">
        <v>53385</v>
      </c>
      <c r="O135" s="6" t="s">
        <v>40</v>
      </c>
      <c r="P135" s="6" t="s">
        <v>74</v>
      </c>
      <c r="Q135" s="6" t="s">
        <v>26</v>
      </c>
    </row>
    <row r="136" spans="1:17" x14ac:dyDescent="0.3">
      <c r="A136" s="6" t="s">
        <v>423</v>
      </c>
      <c r="B136" s="7">
        <v>45736</v>
      </c>
      <c r="C136" s="6" t="s">
        <v>186</v>
      </c>
      <c r="D136" s="6" t="s">
        <v>187</v>
      </c>
      <c r="E136" s="6" t="s">
        <v>67</v>
      </c>
      <c r="F136" s="6" t="s">
        <v>100</v>
      </c>
      <c r="G136" s="6" t="s">
        <v>44</v>
      </c>
      <c r="H136" s="6" t="s">
        <v>89</v>
      </c>
      <c r="I136" s="6">
        <v>2</v>
      </c>
      <c r="J136" s="8">
        <v>173500</v>
      </c>
      <c r="K136" s="9">
        <v>0.15</v>
      </c>
      <c r="L136" s="10">
        <v>294950</v>
      </c>
      <c r="M136" s="6">
        <v>230000</v>
      </c>
      <c r="N136" s="6">
        <v>64950</v>
      </c>
      <c r="O136" s="6" t="s">
        <v>31</v>
      </c>
      <c r="P136" s="6" t="s">
        <v>74</v>
      </c>
      <c r="Q136" s="6" t="s">
        <v>26</v>
      </c>
    </row>
    <row r="137" spans="1:17" x14ac:dyDescent="0.3">
      <c r="A137" s="6" t="s">
        <v>424</v>
      </c>
      <c r="B137" s="7">
        <v>45737</v>
      </c>
      <c r="C137" s="6" t="s">
        <v>425</v>
      </c>
      <c r="D137" s="6" t="s">
        <v>426</v>
      </c>
      <c r="E137" s="6" t="s">
        <v>20</v>
      </c>
      <c r="F137" s="6" t="s">
        <v>21</v>
      </c>
      <c r="G137" s="6" t="s">
        <v>22</v>
      </c>
      <c r="H137" s="6" t="s">
        <v>49</v>
      </c>
      <c r="I137" s="6">
        <v>2</v>
      </c>
      <c r="J137" s="8">
        <v>1172200</v>
      </c>
      <c r="K137" s="9">
        <v>0.05</v>
      </c>
      <c r="L137" s="10">
        <v>2227180</v>
      </c>
      <c r="M137" s="6">
        <v>1900000</v>
      </c>
      <c r="N137" s="6">
        <v>327180</v>
      </c>
      <c r="O137" s="6" t="s">
        <v>40</v>
      </c>
      <c r="P137" s="6" t="s">
        <v>90</v>
      </c>
      <c r="Q137" s="6" t="s">
        <v>26</v>
      </c>
    </row>
    <row r="138" spans="1:17" x14ac:dyDescent="0.3">
      <c r="A138" s="6" t="s">
        <v>427</v>
      </c>
      <c r="B138" s="7">
        <v>45737</v>
      </c>
      <c r="C138" s="6" t="s">
        <v>428</v>
      </c>
      <c r="D138" s="6" t="s">
        <v>429</v>
      </c>
      <c r="E138" s="6" t="s">
        <v>67</v>
      </c>
      <c r="F138" s="6" t="s">
        <v>67</v>
      </c>
      <c r="G138" s="6" t="s">
        <v>78</v>
      </c>
      <c r="H138" s="6" t="s">
        <v>79</v>
      </c>
      <c r="I138" s="6">
        <v>2</v>
      </c>
      <c r="J138" s="8">
        <v>33100</v>
      </c>
      <c r="K138" s="9">
        <v>0</v>
      </c>
      <c r="L138" s="10">
        <v>66200</v>
      </c>
      <c r="M138" s="6">
        <v>36000</v>
      </c>
      <c r="N138" s="6">
        <v>30200</v>
      </c>
      <c r="O138" s="6" t="s">
        <v>104</v>
      </c>
      <c r="P138" s="6" t="s">
        <v>74</v>
      </c>
      <c r="Q138" s="6" t="s">
        <v>26</v>
      </c>
    </row>
    <row r="139" spans="1:17" x14ac:dyDescent="0.3">
      <c r="A139" s="6" t="s">
        <v>430</v>
      </c>
      <c r="B139" s="7">
        <v>45738</v>
      </c>
      <c r="C139" s="6" t="s">
        <v>431</v>
      </c>
      <c r="D139" s="6" t="s">
        <v>432</v>
      </c>
      <c r="E139" s="6" t="s">
        <v>20</v>
      </c>
      <c r="F139" s="6" t="s">
        <v>21</v>
      </c>
      <c r="G139" s="6" t="s">
        <v>38</v>
      </c>
      <c r="H139" s="6" t="s">
        <v>214</v>
      </c>
      <c r="I139" s="6">
        <v>7</v>
      </c>
      <c r="J139" s="8">
        <v>43400</v>
      </c>
      <c r="K139" s="9">
        <v>0.1</v>
      </c>
      <c r="L139" s="10">
        <v>273420</v>
      </c>
      <c r="M139" s="6">
        <v>182000</v>
      </c>
      <c r="N139" s="6">
        <v>91420</v>
      </c>
      <c r="O139" s="6" t="s">
        <v>68</v>
      </c>
      <c r="P139" s="6" t="s">
        <v>54</v>
      </c>
      <c r="Q139" s="6" t="s">
        <v>26</v>
      </c>
    </row>
    <row r="140" spans="1:17" x14ac:dyDescent="0.3">
      <c r="A140" s="6" t="s">
        <v>433</v>
      </c>
      <c r="B140" s="7">
        <v>45739</v>
      </c>
      <c r="C140" s="6" t="s">
        <v>434</v>
      </c>
      <c r="D140" s="6" t="s">
        <v>435</v>
      </c>
      <c r="E140" s="6" t="s">
        <v>36</v>
      </c>
      <c r="F140" s="6" t="s">
        <v>155</v>
      </c>
      <c r="G140" s="6" t="s">
        <v>44</v>
      </c>
      <c r="H140" s="6" t="s">
        <v>45</v>
      </c>
      <c r="I140" s="6">
        <v>5</v>
      </c>
      <c r="J140" s="8">
        <v>518000</v>
      </c>
      <c r="K140" s="9">
        <v>0.15</v>
      </c>
      <c r="L140" s="10">
        <v>2201500</v>
      </c>
      <c r="M140" s="6">
        <v>1825000</v>
      </c>
      <c r="N140" s="6">
        <v>376500</v>
      </c>
      <c r="O140" s="6" t="s">
        <v>31</v>
      </c>
      <c r="P140" s="6" t="s">
        <v>90</v>
      </c>
      <c r="Q140" s="6" t="s">
        <v>26</v>
      </c>
    </row>
    <row r="141" spans="1:17" x14ac:dyDescent="0.3">
      <c r="A141" s="6" t="s">
        <v>436</v>
      </c>
      <c r="B141" s="7">
        <v>45739</v>
      </c>
      <c r="C141" s="6" t="s">
        <v>196</v>
      </c>
      <c r="D141" s="6" t="s">
        <v>197</v>
      </c>
      <c r="E141" s="6" t="s">
        <v>20</v>
      </c>
      <c r="F141" s="6" t="s">
        <v>123</v>
      </c>
      <c r="G141" s="6" t="s">
        <v>22</v>
      </c>
      <c r="H141" s="6" t="s">
        <v>58</v>
      </c>
      <c r="I141" s="6">
        <v>1</v>
      </c>
      <c r="J141" s="8">
        <v>94500</v>
      </c>
      <c r="K141" s="9">
        <v>0.15</v>
      </c>
      <c r="L141" s="10">
        <v>80325</v>
      </c>
      <c r="M141" s="6">
        <v>55000</v>
      </c>
      <c r="N141" s="6">
        <v>25325</v>
      </c>
      <c r="O141" s="6" t="s">
        <v>40</v>
      </c>
      <c r="P141" s="6" t="s">
        <v>90</v>
      </c>
      <c r="Q141" s="6" t="s">
        <v>26</v>
      </c>
    </row>
    <row r="142" spans="1:17" x14ac:dyDescent="0.3">
      <c r="A142" s="6" t="s">
        <v>437</v>
      </c>
      <c r="B142" s="7">
        <v>45739</v>
      </c>
      <c r="C142" s="6" t="s">
        <v>212</v>
      </c>
      <c r="D142" s="6" t="s">
        <v>213</v>
      </c>
      <c r="E142" s="6" t="s">
        <v>67</v>
      </c>
      <c r="F142" s="6" t="s">
        <v>236</v>
      </c>
      <c r="G142" s="6" t="s">
        <v>44</v>
      </c>
      <c r="H142" s="6" t="s">
        <v>45</v>
      </c>
      <c r="I142" s="6">
        <v>4</v>
      </c>
      <c r="J142" s="8">
        <v>531700</v>
      </c>
      <c r="K142" s="9">
        <v>0.02</v>
      </c>
      <c r="L142" s="10">
        <v>0</v>
      </c>
      <c r="M142" s="6">
        <v>0</v>
      </c>
      <c r="N142" s="6">
        <v>0</v>
      </c>
      <c r="O142" s="6" t="s">
        <v>24</v>
      </c>
      <c r="P142" s="6" t="s">
        <v>63</v>
      </c>
      <c r="Q142" s="6" t="s">
        <v>69</v>
      </c>
    </row>
    <row r="143" spans="1:17" x14ac:dyDescent="0.3">
      <c r="A143" s="6" t="s">
        <v>438</v>
      </c>
      <c r="B143" s="7">
        <v>45739</v>
      </c>
      <c r="C143" s="6" t="s">
        <v>439</v>
      </c>
      <c r="D143" s="6" t="s">
        <v>440</v>
      </c>
      <c r="E143" s="6" t="s">
        <v>67</v>
      </c>
      <c r="F143" s="6" t="s">
        <v>236</v>
      </c>
      <c r="G143" s="6" t="s">
        <v>78</v>
      </c>
      <c r="H143" s="6" t="s">
        <v>188</v>
      </c>
      <c r="I143" s="6">
        <v>7</v>
      </c>
      <c r="J143" s="8">
        <v>83500</v>
      </c>
      <c r="K143" s="9">
        <v>0</v>
      </c>
      <c r="L143" s="10">
        <v>584500</v>
      </c>
      <c r="M143" s="6">
        <v>364000</v>
      </c>
      <c r="N143" s="6">
        <v>220500</v>
      </c>
      <c r="O143" s="6" t="s">
        <v>40</v>
      </c>
      <c r="P143" s="6" t="s">
        <v>63</v>
      </c>
      <c r="Q143" s="6" t="s">
        <v>26</v>
      </c>
    </row>
    <row r="144" spans="1:17" x14ac:dyDescent="0.3">
      <c r="A144" s="6" t="s">
        <v>441</v>
      </c>
      <c r="B144" s="7">
        <v>45740</v>
      </c>
      <c r="C144" s="6" t="s">
        <v>442</v>
      </c>
      <c r="D144" s="6" t="s">
        <v>443</v>
      </c>
      <c r="E144" s="6" t="s">
        <v>36</v>
      </c>
      <c r="F144" s="6" t="s">
        <v>37</v>
      </c>
      <c r="G144" s="6" t="s">
        <v>44</v>
      </c>
      <c r="H144" s="6" t="s">
        <v>73</v>
      </c>
      <c r="I144" s="6">
        <v>1</v>
      </c>
      <c r="J144" s="8">
        <v>307200</v>
      </c>
      <c r="K144" s="9">
        <v>0.08</v>
      </c>
      <c r="L144" s="10">
        <v>282624</v>
      </c>
      <c r="M144" s="6">
        <v>210000</v>
      </c>
      <c r="N144" s="6">
        <v>72624</v>
      </c>
      <c r="O144" s="6" t="s">
        <v>68</v>
      </c>
      <c r="P144" s="6" t="s">
        <v>54</v>
      </c>
      <c r="Q144" s="6" t="s">
        <v>26</v>
      </c>
    </row>
    <row r="145" spans="1:17" x14ac:dyDescent="0.3">
      <c r="A145" s="6" t="s">
        <v>444</v>
      </c>
      <c r="B145" s="7">
        <v>45741</v>
      </c>
      <c r="C145" s="6" t="s">
        <v>165</v>
      </c>
      <c r="D145" s="6" t="s">
        <v>166</v>
      </c>
      <c r="E145" s="6" t="s">
        <v>30</v>
      </c>
      <c r="F145" s="6" t="s">
        <v>222</v>
      </c>
      <c r="G145" s="6" t="s">
        <v>44</v>
      </c>
      <c r="H145" s="6" t="s">
        <v>73</v>
      </c>
      <c r="I145" s="6">
        <v>5</v>
      </c>
      <c r="J145" s="8">
        <v>326200</v>
      </c>
      <c r="K145" s="9">
        <v>0.08</v>
      </c>
      <c r="L145" s="10">
        <v>1500520</v>
      </c>
      <c r="M145" s="6">
        <v>1050000</v>
      </c>
      <c r="N145" s="6">
        <v>450520</v>
      </c>
      <c r="O145" s="6" t="s">
        <v>24</v>
      </c>
      <c r="P145" s="6" t="s">
        <v>74</v>
      </c>
      <c r="Q145" s="6" t="s">
        <v>26</v>
      </c>
    </row>
    <row r="146" spans="1:17" x14ac:dyDescent="0.3">
      <c r="A146" s="6" t="s">
        <v>445</v>
      </c>
      <c r="B146" s="7">
        <v>45741</v>
      </c>
      <c r="C146" s="6" t="s">
        <v>446</v>
      </c>
      <c r="D146" s="6" t="s">
        <v>447</v>
      </c>
      <c r="E146" s="6" t="s">
        <v>67</v>
      </c>
      <c r="F146" s="6" t="s">
        <v>67</v>
      </c>
      <c r="G146" s="6" t="s">
        <v>22</v>
      </c>
      <c r="H146" s="6" t="s">
        <v>49</v>
      </c>
      <c r="I146" s="6">
        <v>5</v>
      </c>
      <c r="J146" s="8">
        <v>1271900</v>
      </c>
      <c r="K146" s="9">
        <v>0.1</v>
      </c>
      <c r="L146" s="10">
        <v>5723550</v>
      </c>
      <c r="M146" s="6">
        <v>4750000</v>
      </c>
      <c r="N146" s="6">
        <v>973550</v>
      </c>
      <c r="O146" s="6" t="s">
        <v>31</v>
      </c>
      <c r="P146" s="6" t="s">
        <v>163</v>
      </c>
      <c r="Q146" s="6" t="s">
        <v>26</v>
      </c>
    </row>
    <row r="147" spans="1:17" x14ac:dyDescent="0.3">
      <c r="A147" s="6" t="s">
        <v>448</v>
      </c>
      <c r="B147" s="7">
        <v>45741</v>
      </c>
      <c r="C147" s="6" t="s">
        <v>449</v>
      </c>
      <c r="D147" s="6" t="s">
        <v>450</v>
      </c>
      <c r="E147" s="6" t="s">
        <v>30</v>
      </c>
      <c r="F147" s="6" t="s">
        <v>159</v>
      </c>
      <c r="G147" s="6" t="s">
        <v>22</v>
      </c>
      <c r="H147" s="6" t="s">
        <v>23</v>
      </c>
      <c r="I147" s="6">
        <v>3</v>
      </c>
      <c r="J147" s="8">
        <v>439200</v>
      </c>
      <c r="K147" s="9">
        <v>0.05</v>
      </c>
      <c r="L147" s="10">
        <v>0</v>
      </c>
      <c r="M147" s="6">
        <v>0</v>
      </c>
      <c r="N147" s="6">
        <v>0</v>
      </c>
      <c r="O147" s="6" t="s">
        <v>68</v>
      </c>
      <c r="P147" s="6" t="s">
        <v>25</v>
      </c>
      <c r="Q147" s="6" t="s">
        <v>69</v>
      </c>
    </row>
    <row r="148" spans="1:17" x14ac:dyDescent="0.3">
      <c r="A148" s="6" t="s">
        <v>451</v>
      </c>
      <c r="B148" s="7">
        <v>45741</v>
      </c>
      <c r="C148" s="6" t="s">
        <v>425</v>
      </c>
      <c r="D148" s="6" t="s">
        <v>426</v>
      </c>
      <c r="E148" s="6" t="s">
        <v>20</v>
      </c>
      <c r="F148" s="6" t="s">
        <v>21</v>
      </c>
      <c r="G148" s="6" t="s">
        <v>44</v>
      </c>
      <c r="H148" s="6" t="s">
        <v>89</v>
      </c>
      <c r="I148" s="6">
        <v>7</v>
      </c>
      <c r="J148" s="8">
        <v>187900</v>
      </c>
      <c r="K148" s="9">
        <v>0.1</v>
      </c>
      <c r="L148" s="10">
        <v>1183770</v>
      </c>
      <c r="M148" s="6">
        <v>805000</v>
      </c>
      <c r="N148" s="6">
        <v>378770</v>
      </c>
      <c r="O148" s="6" t="s">
        <v>31</v>
      </c>
      <c r="P148" s="6" t="s">
        <v>25</v>
      </c>
      <c r="Q148" s="6" t="s">
        <v>26</v>
      </c>
    </row>
    <row r="149" spans="1:17" x14ac:dyDescent="0.3">
      <c r="A149" s="6" t="s">
        <v>452</v>
      </c>
      <c r="B149" s="7">
        <v>45742</v>
      </c>
      <c r="C149" s="6" t="s">
        <v>161</v>
      </c>
      <c r="D149" s="6" t="s">
        <v>162</v>
      </c>
      <c r="E149" s="6" t="s">
        <v>36</v>
      </c>
      <c r="F149" s="6" t="s">
        <v>36</v>
      </c>
      <c r="G149" s="6" t="s">
        <v>78</v>
      </c>
      <c r="H149" s="6" t="s">
        <v>318</v>
      </c>
      <c r="I149" s="6">
        <v>6</v>
      </c>
      <c r="J149" s="8">
        <v>76200</v>
      </c>
      <c r="K149" s="9">
        <v>0.05</v>
      </c>
      <c r="L149" s="10">
        <v>434340</v>
      </c>
      <c r="M149" s="6">
        <v>258000</v>
      </c>
      <c r="N149" s="6">
        <v>176340</v>
      </c>
      <c r="O149" s="6" t="s">
        <v>104</v>
      </c>
      <c r="P149" s="6" t="s">
        <v>74</v>
      </c>
      <c r="Q149" s="6" t="s">
        <v>26</v>
      </c>
    </row>
    <row r="150" spans="1:17" x14ac:dyDescent="0.3">
      <c r="A150" s="6" t="s">
        <v>453</v>
      </c>
      <c r="B150" s="7">
        <v>45742</v>
      </c>
      <c r="C150" s="6" t="s">
        <v>286</v>
      </c>
      <c r="D150" s="6" t="s">
        <v>287</v>
      </c>
      <c r="E150" s="6" t="s">
        <v>87</v>
      </c>
      <c r="F150" s="6" t="s">
        <v>88</v>
      </c>
      <c r="G150" s="6" t="s">
        <v>44</v>
      </c>
      <c r="H150" s="6" t="s">
        <v>73</v>
      </c>
      <c r="I150" s="6">
        <v>5</v>
      </c>
      <c r="J150" s="8">
        <v>323500</v>
      </c>
      <c r="K150" s="9">
        <v>0.1</v>
      </c>
      <c r="L150" s="10">
        <v>1455750</v>
      </c>
      <c r="M150" s="6">
        <v>1050000</v>
      </c>
      <c r="N150" s="6">
        <v>405750</v>
      </c>
      <c r="O150" s="6" t="s">
        <v>68</v>
      </c>
      <c r="P150" s="6" t="s">
        <v>90</v>
      </c>
      <c r="Q150" s="6" t="s">
        <v>26</v>
      </c>
    </row>
    <row r="151" spans="1:17" x14ac:dyDescent="0.3">
      <c r="A151" s="6" t="s">
        <v>454</v>
      </c>
      <c r="B151" s="7">
        <v>45742</v>
      </c>
      <c r="C151" s="6" t="s">
        <v>402</v>
      </c>
      <c r="D151" s="6" t="s">
        <v>403</v>
      </c>
      <c r="E151" s="6" t="s">
        <v>20</v>
      </c>
      <c r="F151" s="6" t="s">
        <v>123</v>
      </c>
      <c r="G151" s="6" t="s">
        <v>78</v>
      </c>
      <c r="H151" s="6" t="s">
        <v>188</v>
      </c>
      <c r="I151" s="6">
        <v>7</v>
      </c>
      <c r="J151" s="8">
        <v>80800</v>
      </c>
      <c r="K151" s="9">
        <v>0.02</v>
      </c>
      <c r="L151" s="10">
        <v>554288</v>
      </c>
      <c r="M151" s="6">
        <v>364000</v>
      </c>
      <c r="N151" s="6">
        <v>190288</v>
      </c>
      <c r="O151" s="6" t="s">
        <v>24</v>
      </c>
      <c r="P151" s="6" t="s">
        <v>90</v>
      </c>
      <c r="Q151" s="6" t="s">
        <v>26</v>
      </c>
    </row>
    <row r="152" spans="1:17" x14ac:dyDescent="0.3">
      <c r="A152" s="6" t="s">
        <v>455</v>
      </c>
      <c r="B152" s="7">
        <v>45742</v>
      </c>
      <c r="C152" s="6" t="s">
        <v>456</v>
      </c>
      <c r="D152" s="6" t="s">
        <v>457</v>
      </c>
      <c r="E152" s="6" t="s">
        <v>20</v>
      </c>
      <c r="F152" s="6" t="s">
        <v>21</v>
      </c>
      <c r="G152" s="6" t="s">
        <v>78</v>
      </c>
      <c r="H152" s="6" t="s">
        <v>318</v>
      </c>
      <c r="I152" s="6">
        <v>2</v>
      </c>
      <c r="J152" s="8">
        <v>76900</v>
      </c>
      <c r="K152" s="9">
        <v>0.08</v>
      </c>
      <c r="L152" s="10">
        <v>141496</v>
      </c>
      <c r="M152" s="6">
        <v>86000</v>
      </c>
      <c r="N152" s="6">
        <v>55496</v>
      </c>
      <c r="O152" s="6" t="s">
        <v>68</v>
      </c>
      <c r="P152" s="6" t="s">
        <v>74</v>
      </c>
      <c r="Q152" s="6" t="s">
        <v>26</v>
      </c>
    </row>
    <row r="153" spans="1:17" x14ac:dyDescent="0.3">
      <c r="A153" s="6" t="s">
        <v>458</v>
      </c>
      <c r="B153" s="7">
        <v>45742</v>
      </c>
      <c r="C153" s="6" t="s">
        <v>449</v>
      </c>
      <c r="D153" s="6" t="s">
        <v>450</v>
      </c>
      <c r="E153" s="6" t="s">
        <v>67</v>
      </c>
      <c r="F153" s="6" t="s">
        <v>67</v>
      </c>
      <c r="G153" s="6" t="s">
        <v>22</v>
      </c>
      <c r="H153" s="6" t="s">
        <v>49</v>
      </c>
      <c r="I153" s="6">
        <v>2</v>
      </c>
      <c r="J153" s="8">
        <v>1176900</v>
      </c>
      <c r="K153" s="9">
        <v>0.05</v>
      </c>
      <c r="L153" s="10">
        <v>2236110</v>
      </c>
      <c r="M153" s="6">
        <v>1900000</v>
      </c>
      <c r="N153" s="6">
        <v>336110</v>
      </c>
      <c r="O153" s="6" t="s">
        <v>104</v>
      </c>
      <c r="P153" s="6" t="s">
        <v>163</v>
      </c>
      <c r="Q153" s="6" t="s">
        <v>26</v>
      </c>
    </row>
    <row r="154" spans="1:17" x14ac:dyDescent="0.3">
      <c r="A154" s="6" t="s">
        <v>459</v>
      </c>
      <c r="B154" s="7">
        <v>45743</v>
      </c>
      <c r="C154" s="6" t="s">
        <v>256</v>
      </c>
      <c r="D154" s="6" t="s">
        <v>257</v>
      </c>
      <c r="E154" s="6" t="s">
        <v>20</v>
      </c>
      <c r="F154" s="6" t="s">
        <v>62</v>
      </c>
      <c r="G154" s="6" t="s">
        <v>38</v>
      </c>
      <c r="H154" s="6" t="s">
        <v>214</v>
      </c>
      <c r="I154" s="6">
        <v>7</v>
      </c>
      <c r="J154" s="8">
        <v>46000</v>
      </c>
      <c r="K154" s="9">
        <v>0.1</v>
      </c>
      <c r="L154" s="10">
        <v>289800</v>
      </c>
      <c r="M154" s="6">
        <v>182000</v>
      </c>
      <c r="N154" s="6">
        <v>107800</v>
      </c>
      <c r="O154" s="6" t="s">
        <v>24</v>
      </c>
      <c r="P154" s="6" t="s">
        <v>63</v>
      </c>
      <c r="Q154" s="6" t="s">
        <v>26</v>
      </c>
    </row>
    <row r="155" spans="1:17" x14ac:dyDescent="0.3">
      <c r="A155" s="6" t="s">
        <v>460</v>
      </c>
      <c r="B155" s="7">
        <v>45745</v>
      </c>
      <c r="C155" s="6" t="s">
        <v>461</v>
      </c>
      <c r="D155" s="6" t="s">
        <v>462</v>
      </c>
      <c r="E155" s="6" t="s">
        <v>87</v>
      </c>
      <c r="F155" s="6" t="s">
        <v>135</v>
      </c>
      <c r="G155" s="6" t="s">
        <v>22</v>
      </c>
      <c r="H155" s="6" t="s">
        <v>23</v>
      </c>
      <c r="I155" s="6">
        <v>6</v>
      </c>
      <c r="J155" s="8">
        <v>387200</v>
      </c>
      <c r="K155" s="9">
        <v>0.05</v>
      </c>
      <c r="L155" s="10">
        <v>-2207040</v>
      </c>
      <c r="M155" s="6">
        <v>-1800000</v>
      </c>
      <c r="N155" s="6">
        <v>-407040</v>
      </c>
      <c r="O155" s="6" t="s">
        <v>31</v>
      </c>
      <c r="P155" s="6" t="s">
        <v>119</v>
      </c>
      <c r="Q155" s="6" t="s">
        <v>105</v>
      </c>
    </row>
    <row r="156" spans="1:17" x14ac:dyDescent="0.3">
      <c r="A156" s="6" t="s">
        <v>463</v>
      </c>
      <c r="B156" s="7">
        <v>45745</v>
      </c>
      <c r="C156" s="6" t="s">
        <v>464</v>
      </c>
      <c r="D156" s="6" t="s">
        <v>465</v>
      </c>
      <c r="E156" s="6" t="s">
        <v>20</v>
      </c>
      <c r="F156" s="6" t="s">
        <v>21</v>
      </c>
      <c r="G156" s="6" t="s">
        <v>38</v>
      </c>
      <c r="H156" s="6" t="s">
        <v>53</v>
      </c>
      <c r="I156" s="6">
        <v>1</v>
      </c>
      <c r="J156" s="8">
        <v>400400</v>
      </c>
      <c r="K156" s="9">
        <v>0.1</v>
      </c>
      <c r="L156" s="10">
        <v>360360</v>
      </c>
      <c r="M156" s="6">
        <v>280000</v>
      </c>
      <c r="N156" s="6">
        <v>80360</v>
      </c>
      <c r="O156" s="6" t="s">
        <v>31</v>
      </c>
      <c r="P156" s="6" t="s">
        <v>32</v>
      </c>
      <c r="Q156" s="6" t="s">
        <v>26</v>
      </c>
    </row>
    <row r="157" spans="1:17" x14ac:dyDescent="0.3">
      <c r="A157" s="6" t="s">
        <v>466</v>
      </c>
      <c r="B157" s="7">
        <v>45747</v>
      </c>
      <c r="C157" s="6" t="s">
        <v>467</v>
      </c>
      <c r="D157" s="6" t="s">
        <v>468</v>
      </c>
      <c r="E157" s="6" t="s">
        <v>36</v>
      </c>
      <c r="F157" s="6" t="s">
        <v>36</v>
      </c>
      <c r="G157" s="6" t="s">
        <v>38</v>
      </c>
      <c r="H157" s="6" t="s">
        <v>39</v>
      </c>
      <c r="I157" s="6">
        <v>4</v>
      </c>
      <c r="J157" s="8">
        <v>26900</v>
      </c>
      <c r="K157" s="9">
        <v>0.05</v>
      </c>
      <c r="L157" s="10">
        <v>102220</v>
      </c>
      <c r="M157" s="6">
        <v>60000</v>
      </c>
      <c r="N157" s="6">
        <v>42220</v>
      </c>
      <c r="O157" s="6" t="s">
        <v>40</v>
      </c>
      <c r="P157" s="6" t="s">
        <v>90</v>
      </c>
      <c r="Q157" s="6" t="s">
        <v>26</v>
      </c>
    </row>
    <row r="158" spans="1:17" x14ac:dyDescent="0.3">
      <c r="A158" s="6" t="s">
        <v>469</v>
      </c>
      <c r="B158" s="7">
        <v>45748</v>
      </c>
      <c r="C158" s="6" t="s">
        <v>321</v>
      </c>
      <c r="D158" s="6" t="s">
        <v>322</v>
      </c>
      <c r="E158" s="6" t="s">
        <v>87</v>
      </c>
      <c r="F158" s="6" t="s">
        <v>88</v>
      </c>
      <c r="G158" s="6" t="s">
        <v>78</v>
      </c>
      <c r="H158" s="6" t="s">
        <v>318</v>
      </c>
      <c r="I158" s="6">
        <v>3</v>
      </c>
      <c r="J158" s="8">
        <v>69900</v>
      </c>
      <c r="K158" s="9">
        <v>0.15</v>
      </c>
      <c r="L158" s="10">
        <v>178245</v>
      </c>
      <c r="M158" s="6">
        <v>129000</v>
      </c>
      <c r="N158" s="6">
        <v>49245</v>
      </c>
      <c r="O158" s="6" t="s">
        <v>68</v>
      </c>
      <c r="P158" s="6" t="s">
        <v>63</v>
      </c>
      <c r="Q158" s="6" t="s">
        <v>26</v>
      </c>
    </row>
    <row r="159" spans="1:17" x14ac:dyDescent="0.3">
      <c r="A159" s="6" t="s">
        <v>470</v>
      </c>
      <c r="B159" s="7">
        <v>45749</v>
      </c>
      <c r="C159" s="6" t="s">
        <v>471</v>
      </c>
      <c r="D159" s="6" t="s">
        <v>472</v>
      </c>
      <c r="E159" s="6" t="s">
        <v>30</v>
      </c>
      <c r="F159" s="6" t="s">
        <v>30</v>
      </c>
      <c r="G159" s="6" t="s">
        <v>38</v>
      </c>
      <c r="H159" s="6" t="s">
        <v>39</v>
      </c>
      <c r="I159" s="6">
        <v>6</v>
      </c>
      <c r="J159" s="8">
        <v>28500</v>
      </c>
      <c r="K159" s="9">
        <v>0</v>
      </c>
      <c r="L159" s="10">
        <v>0</v>
      </c>
      <c r="M159" s="6">
        <v>0</v>
      </c>
      <c r="N159" s="6">
        <v>0</v>
      </c>
      <c r="O159" s="6" t="s">
        <v>24</v>
      </c>
      <c r="P159" s="6" t="s">
        <v>90</v>
      </c>
      <c r="Q159" s="6" t="s">
        <v>69</v>
      </c>
    </row>
    <row r="160" spans="1:17" x14ac:dyDescent="0.3">
      <c r="A160" s="6" t="s">
        <v>473</v>
      </c>
      <c r="B160" s="7">
        <v>45750</v>
      </c>
      <c r="C160" s="6" t="s">
        <v>365</v>
      </c>
      <c r="D160" s="6" t="s">
        <v>366</v>
      </c>
      <c r="E160" s="6" t="s">
        <v>20</v>
      </c>
      <c r="F160" s="6" t="s">
        <v>123</v>
      </c>
      <c r="G160" s="6" t="s">
        <v>22</v>
      </c>
      <c r="H160" s="6" t="s">
        <v>49</v>
      </c>
      <c r="I160" s="6">
        <v>5</v>
      </c>
      <c r="J160" s="8">
        <v>1207100</v>
      </c>
      <c r="K160" s="9">
        <v>0.02</v>
      </c>
      <c r="L160" s="10">
        <v>5914790</v>
      </c>
      <c r="M160" s="6">
        <v>4750000</v>
      </c>
      <c r="N160" s="6">
        <v>1164790</v>
      </c>
      <c r="O160" s="6" t="s">
        <v>24</v>
      </c>
      <c r="P160" s="6" t="s">
        <v>163</v>
      </c>
      <c r="Q160" s="6" t="s">
        <v>26</v>
      </c>
    </row>
    <row r="161" spans="1:17" x14ac:dyDescent="0.3">
      <c r="A161" s="6" t="s">
        <v>474</v>
      </c>
      <c r="B161" s="7">
        <v>45752</v>
      </c>
      <c r="C161" s="6" t="s">
        <v>475</v>
      </c>
      <c r="D161" s="6" t="s">
        <v>476</v>
      </c>
      <c r="E161" s="6" t="s">
        <v>36</v>
      </c>
      <c r="F161" s="6" t="s">
        <v>155</v>
      </c>
      <c r="G161" s="6" t="s">
        <v>44</v>
      </c>
      <c r="H161" s="6" t="s">
        <v>45</v>
      </c>
      <c r="I161" s="6">
        <v>7</v>
      </c>
      <c r="J161" s="8">
        <v>543100</v>
      </c>
      <c r="K161" s="9">
        <v>0.05</v>
      </c>
      <c r="L161" s="10">
        <v>3611615</v>
      </c>
      <c r="M161" s="6">
        <v>2555000</v>
      </c>
      <c r="N161" s="6">
        <v>1056615</v>
      </c>
      <c r="O161" s="6" t="s">
        <v>40</v>
      </c>
      <c r="P161" s="6" t="s">
        <v>32</v>
      </c>
      <c r="Q161" s="6" t="s">
        <v>26</v>
      </c>
    </row>
    <row r="162" spans="1:17" x14ac:dyDescent="0.3">
      <c r="A162" s="6" t="s">
        <v>477</v>
      </c>
      <c r="B162" s="7">
        <v>45752</v>
      </c>
      <c r="C162" s="6" t="s">
        <v>478</v>
      </c>
      <c r="D162" s="6" t="s">
        <v>479</v>
      </c>
      <c r="E162" s="6" t="s">
        <v>30</v>
      </c>
      <c r="F162" s="6" t="s">
        <v>222</v>
      </c>
      <c r="G162" s="6" t="s">
        <v>78</v>
      </c>
      <c r="H162" s="6" t="s">
        <v>318</v>
      </c>
      <c r="I162" s="6">
        <v>2</v>
      </c>
      <c r="J162" s="8">
        <v>75700</v>
      </c>
      <c r="K162" s="9">
        <v>0.15</v>
      </c>
      <c r="L162" s="10">
        <v>128690</v>
      </c>
      <c r="M162" s="6">
        <v>86000</v>
      </c>
      <c r="N162" s="6">
        <v>42690</v>
      </c>
      <c r="O162" s="6" t="s">
        <v>104</v>
      </c>
      <c r="P162" s="6" t="s">
        <v>74</v>
      </c>
      <c r="Q162" s="6" t="s">
        <v>26</v>
      </c>
    </row>
    <row r="163" spans="1:17" x14ac:dyDescent="0.3">
      <c r="A163" s="6" t="s">
        <v>480</v>
      </c>
      <c r="B163" s="7">
        <v>45753</v>
      </c>
      <c r="C163" s="6" t="s">
        <v>481</v>
      </c>
      <c r="D163" s="6" t="s">
        <v>482</v>
      </c>
      <c r="E163" s="6" t="s">
        <v>30</v>
      </c>
      <c r="F163" s="6" t="s">
        <v>222</v>
      </c>
      <c r="G163" s="6" t="s">
        <v>38</v>
      </c>
      <c r="H163" s="6" t="s">
        <v>39</v>
      </c>
      <c r="I163" s="6">
        <v>5</v>
      </c>
      <c r="J163" s="8">
        <v>27000</v>
      </c>
      <c r="K163" s="9">
        <v>0</v>
      </c>
      <c r="L163" s="10">
        <v>135000</v>
      </c>
      <c r="M163" s="6">
        <v>75000</v>
      </c>
      <c r="N163" s="6">
        <v>60000</v>
      </c>
      <c r="O163" s="6" t="s">
        <v>104</v>
      </c>
      <c r="P163" s="6" t="s">
        <v>74</v>
      </c>
      <c r="Q163" s="6" t="s">
        <v>26</v>
      </c>
    </row>
    <row r="164" spans="1:17" x14ac:dyDescent="0.3">
      <c r="A164" s="6" t="s">
        <v>483</v>
      </c>
      <c r="B164" s="7">
        <v>45753</v>
      </c>
      <c r="C164" s="6" t="s">
        <v>484</v>
      </c>
      <c r="D164" s="6" t="s">
        <v>485</v>
      </c>
      <c r="E164" s="6" t="s">
        <v>87</v>
      </c>
      <c r="F164" s="6" t="s">
        <v>131</v>
      </c>
      <c r="G164" s="6" t="s">
        <v>44</v>
      </c>
      <c r="H164" s="6" t="s">
        <v>73</v>
      </c>
      <c r="I164" s="6">
        <v>6</v>
      </c>
      <c r="J164" s="8">
        <v>325900</v>
      </c>
      <c r="K164" s="9">
        <v>0.05</v>
      </c>
      <c r="L164" s="10">
        <v>1857630</v>
      </c>
      <c r="M164" s="6">
        <v>1260000</v>
      </c>
      <c r="N164" s="6">
        <v>597630</v>
      </c>
      <c r="O164" s="6" t="s">
        <v>104</v>
      </c>
      <c r="P164" s="6" t="s">
        <v>163</v>
      </c>
      <c r="Q164" s="6" t="s">
        <v>26</v>
      </c>
    </row>
    <row r="165" spans="1:17" x14ac:dyDescent="0.3">
      <c r="A165" s="6" t="s">
        <v>486</v>
      </c>
      <c r="B165" s="7">
        <v>45753</v>
      </c>
      <c r="C165" s="6" t="s">
        <v>129</v>
      </c>
      <c r="D165" s="6" t="s">
        <v>130</v>
      </c>
      <c r="E165" s="6" t="s">
        <v>36</v>
      </c>
      <c r="F165" s="6" t="s">
        <v>36</v>
      </c>
      <c r="G165" s="6" t="s">
        <v>44</v>
      </c>
      <c r="H165" s="6" t="s">
        <v>73</v>
      </c>
      <c r="I165" s="6">
        <v>1</v>
      </c>
      <c r="J165" s="8">
        <v>332600</v>
      </c>
      <c r="K165" s="9">
        <v>0.08</v>
      </c>
      <c r="L165" s="10">
        <v>305992</v>
      </c>
      <c r="M165" s="6">
        <v>210000</v>
      </c>
      <c r="N165" s="6">
        <v>95992</v>
      </c>
      <c r="O165" s="6" t="s">
        <v>31</v>
      </c>
      <c r="P165" s="6" t="s">
        <v>163</v>
      </c>
      <c r="Q165" s="6" t="s">
        <v>26</v>
      </c>
    </row>
    <row r="166" spans="1:17" x14ac:dyDescent="0.3">
      <c r="A166" s="6" t="s">
        <v>487</v>
      </c>
      <c r="B166" s="7">
        <v>45754</v>
      </c>
      <c r="C166" s="6" t="s">
        <v>262</v>
      </c>
      <c r="D166" s="6" t="s">
        <v>263</v>
      </c>
      <c r="E166" s="6" t="s">
        <v>20</v>
      </c>
      <c r="F166" s="6" t="s">
        <v>20</v>
      </c>
      <c r="G166" s="6" t="s">
        <v>78</v>
      </c>
      <c r="H166" s="6" t="s">
        <v>318</v>
      </c>
      <c r="I166" s="6">
        <v>1</v>
      </c>
      <c r="J166" s="8">
        <v>77500</v>
      </c>
      <c r="K166" s="9">
        <v>0.05</v>
      </c>
      <c r="L166" s="10">
        <v>73625</v>
      </c>
      <c r="M166" s="6">
        <v>43000</v>
      </c>
      <c r="N166" s="6">
        <v>30625</v>
      </c>
      <c r="O166" s="6" t="s">
        <v>31</v>
      </c>
      <c r="P166" s="6" t="s">
        <v>163</v>
      </c>
      <c r="Q166" s="6" t="s">
        <v>26</v>
      </c>
    </row>
    <row r="167" spans="1:17" x14ac:dyDescent="0.3">
      <c r="A167" s="6" t="s">
        <v>488</v>
      </c>
      <c r="B167" s="7">
        <v>45754</v>
      </c>
      <c r="C167" s="6" t="s">
        <v>489</v>
      </c>
      <c r="D167" s="6" t="s">
        <v>490</v>
      </c>
      <c r="E167" s="6" t="s">
        <v>20</v>
      </c>
      <c r="F167" s="6" t="s">
        <v>123</v>
      </c>
      <c r="G167" s="6" t="s">
        <v>22</v>
      </c>
      <c r="H167" s="6" t="s">
        <v>58</v>
      </c>
      <c r="I167" s="6">
        <v>7</v>
      </c>
      <c r="J167" s="8">
        <v>99900</v>
      </c>
      <c r="K167" s="9">
        <v>0.02</v>
      </c>
      <c r="L167" s="10">
        <v>685314</v>
      </c>
      <c r="M167" s="6">
        <v>385000</v>
      </c>
      <c r="N167" s="6">
        <v>300314</v>
      </c>
      <c r="O167" s="6" t="s">
        <v>104</v>
      </c>
      <c r="P167" s="6" t="s">
        <v>32</v>
      </c>
      <c r="Q167" s="6" t="s">
        <v>26</v>
      </c>
    </row>
    <row r="168" spans="1:17" x14ac:dyDescent="0.3">
      <c r="A168" s="6" t="s">
        <v>491</v>
      </c>
      <c r="B168" s="7">
        <v>45754</v>
      </c>
      <c r="C168" s="6" t="s">
        <v>492</v>
      </c>
      <c r="D168" s="6" t="s">
        <v>493</v>
      </c>
      <c r="E168" s="6" t="s">
        <v>87</v>
      </c>
      <c r="F168" s="6" t="s">
        <v>135</v>
      </c>
      <c r="G168" s="6" t="s">
        <v>44</v>
      </c>
      <c r="H168" s="6" t="s">
        <v>73</v>
      </c>
      <c r="I168" s="6">
        <v>7</v>
      </c>
      <c r="J168" s="8">
        <v>333500</v>
      </c>
      <c r="K168" s="9">
        <v>0.15</v>
      </c>
      <c r="L168" s="10">
        <v>1984325</v>
      </c>
      <c r="M168" s="6">
        <v>1470000</v>
      </c>
      <c r="N168" s="6">
        <v>514325</v>
      </c>
      <c r="O168" s="6" t="s">
        <v>104</v>
      </c>
      <c r="P168" s="6" t="s">
        <v>25</v>
      </c>
      <c r="Q168" s="6" t="s">
        <v>26</v>
      </c>
    </row>
    <row r="169" spans="1:17" x14ac:dyDescent="0.3">
      <c r="A169" s="6" t="s">
        <v>494</v>
      </c>
      <c r="B169" s="7">
        <v>45755</v>
      </c>
      <c r="C169" s="6" t="s">
        <v>495</v>
      </c>
      <c r="D169" s="6" t="s">
        <v>496</v>
      </c>
      <c r="E169" s="6" t="s">
        <v>20</v>
      </c>
      <c r="F169" s="6" t="s">
        <v>62</v>
      </c>
      <c r="G169" s="6" t="s">
        <v>22</v>
      </c>
      <c r="H169" s="6" t="s">
        <v>49</v>
      </c>
      <c r="I169" s="6">
        <v>5</v>
      </c>
      <c r="J169" s="8">
        <v>1172300</v>
      </c>
      <c r="K169" s="9">
        <v>0.05</v>
      </c>
      <c r="L169" s="10">
        <v>5568425</v>
      </c>
      <c r="M169" s="6">
        <v>4750000</v>
      </c>
      <c r="N169" s="6">
        <v>818425</v>
      </c>
      <c r="O169" s="6" t="s">
        <v>24</v>
      </c>
      <c r="P169" s="6" t="s">
        <v>163</v>
      </c>
      <c r="Q169" s="6" t="s">
        <v>26</v>
      </c>
    </row>
    <row r="170" spans="1:17" x14ac:dyDescent="0.3">
      <c r="A170" s="6" t="s">
        <v>497</v>
      </c>
      <c r="B170" s="7">
        <v>45755</v>
      </c>
      <c r="C170" s="6" t="s">
        <v>193</v>
      </c>
      <c r="D170" s="6" t="s">
        <v>194</v>
      </c>
      <c r="E170" s="6" t="s">
        <v>87</v>
      </c>
      <c r="F170" s="6" t="s">
        <v>135</v>
      </c>
      <c r="G170" s="6" t="s">
        <v>22</v>
      </c>
      <c r="H170" s="6" t="s">
        <v>23</v>
      </c>
      <c r="I170" s="6">
        <v>7</v>
      </c>
      <c r="J170" s="8">
        <v>390800</v>
      </c>
      <c r="K170" s="9">
        <v>0.02</v>
      </c>
      <c r="L170" s="10">
        <v>2680888</v>
      </c>
      <c r="M170" s="6">
        <v>2100000</v>
      </c>
      <c r="N170" s="6">
        <v>580888</v>
      </c>
      <c r="O170" s="6" t="s">
        <v>31</v>
      </c>
      <c r="P170" s="6" t="s">
        <v>90</v>
      </c>
      <c r="Q170" s="6" t="s">
        <v>26</v>
      </c>
    </row>
    <row r="171" spans="1:17" x14ac:dyDescent="0.3">
      <c r="A171" s="6" t="s">
        <v>498</v>
      </c>
      <c r="B171" s="7">
        <v>45756</v>
      </c>
      <c r="C171" s="6" t="s">
        <v>250</v>
      </c>
      <c r="D171" s="6" t="s">
        <v>251</v>
      </c>
      <c r="E171" s="6" t="s">
        <v>36</v>
      </c>
      <c r="F171" s="6" t="s">
        <v>37</v>
      </c>
      <c r="G171" s="6" t="s">
        <v>22</v>
      </c>
      <c r="H171" s="6" t="s">
        <v>23</v>
      </c>
      <c r="I171" s="6">
        <v>3</v>
      </c>
      <c r="J171" s="8">
        <v>397200</v>
      </c>
      <c r="K171" s="9">
        <v>0.02</v>
      </c>
      <c r="L171" s="10">
        <v>1167768</v>
      </c>
      <c r="M171" s="6">
        <v>900000</v>
      </c>
      <c r="N171" s="6">
        <v>267768</v>
      </c>
      <c r="O171" s="6" t="s">
        <v>104</v>
      </c>
      <c r="P171" s="6" t="s">
        <v>54</v>
      </c>
      <c r="Q171" s="6" t="s">
        <v>26</v>
      </c>
    </row>
    <row r="172" spans="1:17" x14ac:dyDescent="0.3">
      <c r="A172" s="6" t="s">
        <v>499</v>
      </c>
      <c r="B172" s="7">
        <v>45756</v>
      </c>
      <c r="C172" s="6" t="s">
        <v>308</v>
      </c>
      <c r="D172" s="6" t="s">
        <v>309</v>
      </c>
      <c r="E172" s="6" t="s">
        <v>20</v>
      </c>
      <c r="F172" s="6" t="s">
        <v>21</v>
      </c>
      <c r="G172" s="6" t="s">
        <v>38</v>
      </c>
      <c r="H172" s="6" t="s">
        <v>53</v>
      </c>
      <c r="I172" s="6">
        <v>7</v>
      </c>
      <c r="J172" s="8">
        <v>403500</v>
      </c>
      <c r="K172" s="9">
        <v>0.02</v>
      </c>
      <c r="L172" s="10">
        <v>2768010</v>
      </c>
      <c r="M172" s="6">
        <v>1960000</v>
      </c>
      <c r="N172" s="6">
        <v>808010</v>
      </c>
      <c r="O172" s="6" t="s">
        <v>68</v>
      </c>
      <c r="P172" s="6" t="s">
        <v>32</v>
      </c>
      <c r="Q172" s="6" t="s">
        <v>26</v>
      </c>
    </row>
    <row r="173" spans="1:17" x14ac:dyDescent="0.3">
      <c r="A173" s="6" t="s">
        <v>500</v>
      </c>
      <c r="B173" s="7">
        <v>45756</v>
      </c>
      <c r="C173" s="6" t="s">
        <v>76</v>
      </c>
      <c r="D173" s="6" t="s">
        <v>77</v>
      </c>
      <c r="E173" s="6" t="s">
        <v>36</v>
      </c>
      <c r="F173" s="6" t="s">
        <v>155</v>
      </c>
      <c r="G173" s="6" t="s">
        <v>44</v>
      </c>
      <c r="H173" s="6" t="s">
        <v>73</v>
      </c>
      <c r="I173" s="6">
        <v>2</v>
      </c>
      <c r="J173" s="8">
        <v>326100</v>
      </c>
      <c r="K173" s="9">
        <v>0.05</v>
      </c>
      <c r="L173" s="10">
        <v>619590</v>
      </c>
      <c r="M173" s="6">
        <v>420000</v>
      </c>
      <c r="N173" s="6">
        <v>199590</v>
      </c>
      <c r="O173" s="6" t="s">
        <v>40</v>
      </c>
      <c r="P173" s="6" t="s">
        <v>54</v>
      </c>
      <c r="Q173" s="6" t="s">
        <v>26</v>
      </c>
    </row>
    <row r="174" spans="1:17" x14ac:dyDescent="0.3">
      <c r="A174" s="6" t="s">
        <v>501</v>
      </c>
      <c r="B174" s="7">
        <v>45758</v>
      </c>
      <c r="C174" s="6" t="s">
        <v>193</v>
      </c>
      <c r="D174" s="6" t="s">
        <v>194</v>
      </c>
      <c r="E174" s="6" t="s">
        <v>87</v>
      </c>
      <c r="F174" s="6" t="s">
        <v>135</v>
      </c>
      <c r="G174" s="6" t="s">
        <v>22</v>
      </c>
      <c r="H174" s="6" t="s">
        <v>83</v>
      </c>
      <c r="I174" s="6">
        <v>5</v>
      </c>
      <c r="J174" s="8">
        <v>657500</v>
      </c>
      <c r="K174" s="9">
        <v>0.1</v>
      </c>
      <c r="L174" s="10">
        <v>2958750</v>
      </c>
      <c r="M174" s="6">
        <v>2350000</v>
      </c>
      <c r="N174" s="6">
        <v>608750</v>
      </c>
      <c r="O174" s="6" t="s">
        <v>24</v>
      </c>
      <c r="P174" s="6" t="s">
        <v>32</v>
      </c>
      <c r="Q174" s="6" t="s">
        <v>26</v>
      </c>
    </row>
    <row r="175" spans="1:17" x14ac:dyDescent="0.3">
      <c r="A175" s="6" t="s">
        <v>502</v>
      </c>
      <c r="B175" s="7">
        <v>45758</v>
      </c>
      <c r="C175" s="6" t="s">
        <v>125</v>
      </c>
      <c r="D175" s="6" t="s">
        <v>126</v>
      </c>
      <c r="E175" s="6" t="s">
        <v>30</v>
      </c>
      <c r="F175" s="6" t="s">
        <v>222</v>
      </c>
      <c r="G175" s="6" t="s">
        <v>22</v>
      </c>
      <c r="H175" s="6" t="s">
        <v>23</v>
      </c>
      <c r="I175" s="6">
        <v>1</v>
      </c>
      <c r="J175" s="8">
        <v>390100</v>
      </c>
      <c r="K175" s="9">
        <v>0.1</v>
      </c>
      <c r="L175" s="10">
        <v>351090</v>
      </c>
      <c r="M175" s="6">
        <v>300000</v>
      </c>
      <c r="N175" s="6">
        <v>51090</v>
      </c>
      <c r="O175" s="6" t="s">
        <v>104</v>
      </c>
      <c r="P175" s="6" t="s">
        <v>54</v>
      </c>
      <c r="Q175" s="6" t="s">
        <v>26</v>
      </c>
    </row>
    <row r="176" spans="1:17" x14ac:dyDescent="0.3">
      <c r="A176" s="6" t="s">
        <v>503</v>
      </c>
      <c r="B176" s="7">
        <v>45759</v>
      </c>
      <c r="C176" s="6" t="s">
        <v>372</v>
      </c>
      <c r="D176" s="6" t="s">
        <v>373</v>
      </c>
      <c r="E176" s="6" t="s">
        <v>20</v>
      </c>
      <c r="F176" s="6" t="s">
        <v>21</v>
      </c>
      <c r="G176" s="6" t="s">
        <v>44</v>
      </c>
      <c r="H176" s="6" t="s">
        <v>73</v>
      </c>
      <c r="I176" s="6">
        <v>3</v>
      </c>
      <c r="J176" s="8">
        <v>328000</v>
      </c>
      <c r="K176" s="9">
        <v>0.08</v>
      </c>
      <c r="L176" s="10">
        <v>905280</v>
      </c>
      <c r="M176" s="6">
        <v>630000</v>
      </c>
      <c r="N176" s="6">
        <v>275280</v>
      </c>
      <c r="O176" s="6" t="s">
        <v>31</v>
      </c>
      <c r="P176" s="6" t="s">
        <v>54</v>
      </c>
      <c r="Q176" s="6" t="s">
        <v>26</v>
      </c>
    </row>
    <row r="177" spans="1:17" x14ac:dyDescent="0.3">
      <c r="A177" s="6" t="s">
        <v>504</v>
      </c>
      <c r="B177" s="7">
        <v>45759</v>
      </c>
      <c r="C177" s="6" t="s">
        <v>505</v>
      </c>
      <c r="D177" s="6" t="s">
        <v>506</v>
      </c>
      <c r="E177" s="6" t="s">
        <v>36</v>
      </c>
      <c r="F177" s="6" t="s">
        <v>155</v>
      </c>
      <c r="G177" s="6" t="s">
        <v>44</v>
      </c>
      <c r="H177" s="6" t="s">
        <v>73</v>
      </c>
      <c r="I177" s="6">
        <v>1</v>
      </c>
      <c r="J177" s="8">
        <v>314700</v>
      </c>
      <c r="K177" s="9">
        <v>0.05</v>
      </c>
      <c r="L177" s="10">
        <v>298965</v>
      </c>
      <c r="M177" s="6">
        <v>210000</v>
      </c>
      <c r="N177" s="6">
        <v>88965</v>
      </c>
      <c r="O177" s="6" t="s">
        <v>40</v>
      </c>
      <c r="P177" s="6" t="s">
        <v>54</v>
      </c>
      <c r="Q177" s="6" t="s">
        <v>26</v>
      </c>
    </row>
    <row r="178" spans="1:17" x14ac:dyDescent="0.3">
      <c r="A178" s="6" t="s">
        <v>507</v>
      </c>
      <c r="B178" s="7">
        <v>45760</v>
      </c>
      <c r="C178" s="6" t="s">
        <v>508</v>
      </c>
      <c r="D178" s="6" t="s">
        <v>509</v>
      </c>
      <c r="E178" s="6" t="s">
        <v>67</v>
      </c>
      <c r="F178" s="6" t="s">
        <v>100</v>
      </c>
      <c r="G178" s="6" t="s">
        <v>44</v>
      </c>
      <c r="H178" s="6" t="s">
        <v>73</v>
      </c>
      <c r="I178" s="6">
        <v>5</v>
      </c>
      <c r="J178" s="8">
        <v>292900</v>
      </c>
      <c r="K178" s="9">
        <v>0</v>
      </c>
      <c r="L178" s="10">
        <v>1464500</v>
      </c>
      <c r="M178" s="6">
        <v>1050000</v>
      </c>
      <c r="N178" s="6">
        <v>414500</v>
      </c>
      <c r="O178" s="6" t="s">
        <v>31</v>
      </c>
      <c r="P178" s="6" t="s">
        <v>32</v>
      </c>
      <c r="Q178" s="6" t="s">
        <v>26</v>
      </c>
    </row>
    <row r="179" spans="1:17" x14ac:dyDescent="0.3">
      <c r="A179" s="6" t="s">
        <v>510</v>
      </c>
      <c r="B179" s="7">
        <v>45761</v>
      </c>
      <c r="C179" s="6" t="s">
        <v>481</v>
      </c>
      <c r="D179" s="6" t="s">
        <v>482</v>
      </c>
      <c r="E179" s="6" t="s">
        <v>20</v>
      </c>
      <c r="F179" s="6" t="s">
        <v>62</v>
      </c>
      <c r="G179" s="6" t="s">
        <v>22</v>
      </c>
      <c r="H179" s="6" t="s">
        <v>83</v>
      </c>
      <c r="I179" s="6">
        <v>4</v>
      </c>
      <c r="J179" s="8">
        <v>647900</v>
      </c>
      <c r="K179" s="9">
        <v>0</v>
      </c>
      <c r="L179" s="10">
        <v>2591600</v>
      </c>
      <c r="M179" s="6">
        <v>1880000</v>
      </c>
      <c r="N179" s="6">
        <v>711600</v>
      </c>
      <c r="O179" s="6" t="s">
        <v>31</v>
      </c>
      <c r="P179" s="6" t="s">
        <v>74</v>
      </c>
      <c r="Q179" s="6" t="s">
        <v>26</v>
      </c>
    </row>
    <row r="180" spans="1:17" x14ac:dyDescent="0.3">
      <c r="A180" s="6" t="s">
        <v>511</v>
      </c>
      <c r="B180" s="7">
        <v>45762</v>
      </c>
      <c r="C180" s="6" t="s">
        <v>512</v>
      </c>
      <c r="D180" s="6" t="s">
        <v>513</v>
      </c>
      <c r="E180" s="6" t="s">
        <v>20</v>
      </c>
      <c r="F180" s="6" t="s">
        <v>62</v>
      </c>
      <c r="G180" s="6" t="s">
        <v>22</v>
      </c>
      <c r="H180" s="6" t="s">
        <v>49</v>
      </c>
      <c r="I180" s="6">
        <v>2</v>
      </c>
      <c r="J180" s="8">
        <v>1237500</v>
      </c>
      <c r="K180" s="9">
        <v>0.02</v>
      </c>
      <c r="L180" s="10">
        <v>2425500</v>
      </c>
      <c r="M180" s="6">
        <v>1900000</v>
      </c>
      <c r="N180" s="6">
        <v>525500</v>
      </c>
      <c r="O180" s="6" t="s">
        <v>68</v>
      </c>
      <c r="P180" s="6" t="s">
        <v>32</v>
      </c>
      <c r="Q180" s="6" t="s">
        <v>26</v>
      </c>
    </row>
    <row r="181" spans="1:17" x14ac:dyDescent="0.3">
      <c r="A181" s="6" t="s">
        <v>514</v>
      </c>
      <c r="B181" s="7">
        <v>45762</v>
      </c>
      <c r="C181" s="6" t="s">
        <v>515</v>
      </c>
      <c r="D181" s="6" t="s">
        <v>516</v>
      </c>
      <c r="E181" s="6" t="s">
        <v>20</v>
      </c>
      <c r="F181" s="6" t="s">
        <v>123</v>
      </c>
      <c r="G181" s="6" t="s">
        <v>22</v>
      </c>
      <c r="H181" s="6" t="s">
        <v>49</v>
      </c>
      <c r="I181" s="6">
        <v>4</v>
      </c>
      <c r="J181" s="8">
        <v>1264100</v>
      </c>
      <c r="K181" s="9">
        <v>0.05</v>
      </c>
      <c r="L181" s="10">
        <v>4803580</v>
      </c>
      <c r="M181" s="6">
        <v>3800000</v>
      </c>
      <c r="N181" s="6">
        <v>1003580</v>
      </c>
      <c r="O181" s="6" t="s">
        <v>68</v>
      </c>
      <c r="P181" s="6" t="s">
        <v>119</v>
      </c>
      <c r="Q181" s="6" t="s">
        <v>26</v>
      </c>
    </row>
    <row r="182" spans="1:17" x14ac:dyDescent="0.3">
      <c r="A182" s="6" t="s">
        <v>517</v>
      </c>
      <c r="B182" s="7">
        <v>45762</v>
      </c>
      <c r="C182" s="6" t="s">
        <v>446</v>
      </c>
      <c r="D182" s="6" t="s">
        <v>447</v>
      </c>
      <c r="E182" s="6" t="s">
        <v>20</v>
      </c>
      <c r="F182" s="6" t="s">
        <v>21</v>
      </c>
      <c r="G182" s="6" t="s">
        <v>44</v>
      </c>
      <c r="H182" s="6" t="s">
        <v>89</v>
      </c>
      <c r="I182" s="6">
        <v>4</v>
      </c>
      <c r="J182" s="8">
        <v>167000</v>
      </c>
      <c r="K182" s="9">
        <v>0.05</v>
      </c>
      <c r="L182" s="10">
        <v>634600</v>
      </c>
      <c r="M182" s="6">
        <v>460000</v>
      </c>
      <c r="N182" s="6">
        <v>174600</v>
      </c>
      <c r="O182" s="6" t="s">
        <v>68</v>
      </c>
      <c r="P182" s="6" t="s">
        <v>32</v>
      </c>
      <c r="Q182" s="6" t="s">
        <v>26</v>
      </c>
    </row>
    <row r="183" spans="1:17" x14ac:dyDescent="0.3">
      <c r="A183" s="6" t="s">
        <v>518</v>
      </c>
      <c r="B183" s="7">
        <v>45765</v>
      </c>
      <c r="C183" s="6" t="s">
        <v>231</v>
      </c>
      <c r="D183" s="6" t="s">
        <v>232</v>
      </c>
      <c r="E183" s="6" t="s">
        <v>20</v>
      </c>
      <c r="F183" s="6" t="s">
        <v>20</v>
      </c>
      <c r="G183" s="6" t="s">
        <v>22</v>
      </c>
      <c r="H183" s="6" t="s">
        <v>23</v>
      </c>
      <c r="I183" s="6">
        <v>1</v>
      </c>
      <c r="J183" s="8">
        <v>424500</v>
      </c>
      <c r="K183" s="9">
        <v>0.02</v>
      </c>
      <c r="L183" s="10">
        <v>0</v>
      </c>
      <c r="M183" s="6">
        <v>0</v>
      </c>
      <c r="N183" s="6">
        <v>0</v>
      </c>
      <c r="O183" s="6" t="s">
        <v>24</v>
      </c>
      <c r="P183" s="6" t="s">
        <v>74</v>
      </c>
      <c r="Q183" s="6" t="s">
        <v>69</v>
      </c>
    </row>
    <row r="184" spans="1:17" x14ac:dyDescent="0.3">
      <c r="A184" s="6" t="s">
        <v>519</v>
      </c>
      <c r="B184" s="7">
        <v>45765</v>
      </c>
      <c r="C184" s="6" t="s">
        <v>28</v>
      </c>
      <c r="D184" s="6" t="s">
        <v>29</v>
      </c>
      <c r="E184" s="6" t="s">
        <v>30</v>
      </c>
      <c r="F184" s="6" t="s">
        <v>30</v>
      </c>
      <c r="G184" s="6" t="s">
        <v>22</v>
      </c>
      <c r="H184" s="6" t="s">
        <v>83</v>
      </c>
      <c r="I184" s="6">
        <v>2</v>
      </c>
      <c r="J184" s="8">
        <v>599000</v>
      </c>
      <c r="K184" s="9">
        <v>0.02</v>
      </c>
      <c r="L184" s="10">
        <v>1174040</v>
      </c>
      <c r="M184" s="6">
        <v>940000</v>
      </c>
      <c r="N184" s="6">
        <v>234040</v>
      </c>
      <c r="O184" s="6" t="s">
        <v>40</v>
      </c>
      <c r="P184" s="6" t="s">
        <v>32</v>
      </c>
      <c r="Q184" s="6" t="s">
        <v>26</v>
      </c>
    </row>
    <row r="185" spans="1:17" x14ac:dyDescent="0.3">
      <c r="A185" s="6" t="s">
        <v>520</v>
      </c>
      <c r="B185" s="7">
        <v>45766</v>
      </c>
      <c r="C185" s="6" t="s">
        <v>521</v>
      </c>
      <c r="D185" s="6" t="s">
        <v>522</v>
      </c>
      <c r="E185" s="6" t="s">
        <v>87</v>
      </c>
      <c r="F185" s="6" t="s">
        <v>135</v>
      </c>
      <c r="G185" s="6" t="s">
        <v>44</v>
      </c>
      <c r="H185" s="6" t="s">
        <v>45</v>
      </c>
      <c r="I185" s="6">
        <v>6</v>
      </c>
      <c r="J185" s="8">
        <v>488200</v>
      </c>
      <c r="K185" s="9">
        <v>0</v>
      </c>
      <c r="L185" s="10">
        <v>2929200</v>
      </c>
      <c r="M185" s="6">
        <v>2190000</v>
      </c>
      <c r="N185" s="6">
        <v>739200</v>
      </c>
      <c r="O185" s="6" t="s">
        <v>40</v>
      </c>
      <c r="P185" s="6" t="s">
        <v>163</v>
      </c>
      <c r="Q185" s="6" t="s">
        <v>26</v>
      </c>
    </row>
    <row r="186" spans="1:17" x14ac:dyDescent="0.3">
      <c r="A186" s="6" t="s">
        <v>523</v>
      </c>
      <c r="B186" s="7">
        <v>45767</v>
      </c>
      <c r="C186" s="6" t="s">
        <v>42</v>
      </c>
      <c r="D186" s="6" t="s">
        <v>43</v>
      </c>
      <c r="E186" s="6" t="s">
        <v>20</v>
      </c>
      <c r="F186" s="6" t="s">
        <v>123</v>
      </c>
      <c r="G186" s="6" t="s">
        <v>44</v>
      </c>
      <c r="H186" s="6" t="s">
        <v>73</v>
      </c>
      <c r="I186" s="6">
        <v>3</v>
      </c>
      <c r="J186" s="8">
        <v>326100</v>
      </c>
      <c r="K186" s="9">
        <v>0.1</v>
      </c>
      <c r="L186" s="10">
        <v>880470</v>
      </c>
      <c r="M186" s="6">
        <v>630000</v>
      </c>
      <c r="N186" s="6">
        <v>250470</v>
      </c>
      <c r="O186" s="6" t="s">
        <v>40</v>
      </c>
      <c r="P186" s="6" t="s">
        <v>63</v>
      </c>
      <c r="Q186" s="6" t="s">
        <v>26</v>
      </c>
    </row>
    <row r="187" spans="1:17" x14ac:dyDescent="0.3">
      <c r="A187" s="6" t="s">
        <v>524</v>
      </c>
      <c r="B187" s="7">
        <v>45767</v>
      </c>
      <c r="C187" s="6" t="s">
        <v>372</v>
      </c>
      <c r="D187" s="6" t="s">
        <v>373</v>
      </c>
      <c r="E187" s="6" t="s">
        <v>87</v>
      </c>
      <c r="F187" s="6" t="s">
        <v>88</v>
      </c>
      <c r="G187" s="6" t="s">
        <v>22</v>
      </c>
      <c r="H187" s="6" t="s">
        <v>23</v>
      </c>
      <c r="I187" s="6">
        <v>3</v>
      </c>
      <c r="J187" s="8">
        <v>413200</v>
      </c>
      <c r="K187" s="9">
        <v>0</v>
      </c>
      <c r="L187" s="10">
        <v>1239600</v>
      </c>
      <c r="M187" s="6">
        <v>900000</v>
      </c>
      <c r="N187" s="6">
        <v>339600</v>
      </c>
      <c r="O187" s="6" t="s">
        <v>31</v>
      </c>
      <c r="P187" s="6" t="s">
        <v>54</v>
      </c>
      <c r="Q187" s="6" t="s">
        <v>26</v>
      </c>
    </row>
    <row r="188" spans="1:17" x14ac:dyDescent="0.3">
      <c r="A188" s="6" t="s">
        <v>525</v>
      </c>
      <c r="B188" s="7">
        <v>45767</v>
      </c>
      <c r="C188" s="6" t="s">
        <v>526</v>
      </c>
      <c r="D188" s="6" t="s">
        <v>527</v>
      </c>
      <c r="E188" s="6" t="s">
        <v>30</v>
      </c>
      <c r="F188" s="6" t="s">
        <v>159</v>
      </c>
      <c r="G188" s="6" t="s">
        <v>44</v>
      </c>
      <c r="H188" s="6" t="s">
        <v>45</v>
      </c>
      <c r="I188" s="6">
        <v>5</v>
      </c>
      <c r="J188" s="8">
        <v>552800</v>
      </c>
      <c r="K188" s="9">
        <v>0.1</v>
      </c>
      <c r="L188" s="10">
        <v>2487600</v>
      </c>
      <c r="M188" s="6">
        <v>1825000</v>
      </c>
      <c r="N188" s="6">
        <v>662600</v>
      </c>
      <c r="O188" s="6" t="s">
        <v>24</v>
      </c>
      <c r="P188" s="6" t="s">
        <v>25</v>
      </c>
      <c r="Q188" s="6" t="s">
        <v>26</v>
      </c>
    </row>
    <row r="189" spans="1:17" x14ac:dyDescent="0.3">
      <c r="A189" s="6" t="s">
        <v>528</v>
      </c>
      <c r="B189" s="7">
        <v>45768</v>
      </c>
      <c r="C189" s="6" t="s">
        <v>529</v>
      </c>
      <c r="D189" s="6" t="s">
        <v>530</v>
      </c>
      <c r="E189" s="6" t="s">
        <v>20</v>
      </c>
      <c r="F189" s="6" t="s">
        <v>62</v>
      </c>
      <c r="G189" s="6" t="s">
        <v>38</v>
      </c>
      <c r="H189" s="6" t="s">
        <v>53</v>
      </c>
      <c r="I189" s="6">
        <v>4</v>
      </c>
      <c r="J189" s="8">
        <v>365700</v>
      </c>
      <c r="K189" s="9">
        <v>0.05</v>
      </c>
      <c r="L189" s="10">
        <v>1389660</v>
      </c>
      <c r="M189" s="6">
        <v>1120000</v>
      </c>
      <c r="N189" s="6">
        <v>269660</v>
      </c>
      <c r="O189" s="6" t="s">
        <v>31</v>
      </c>
      <c r="P189" s="6" t="s">
        <v>74</v>
      </c>
      <c r="Q189" s="6" t="s">
        <v>26</v>
      </c>
    </row>
    <row r="190" spans="1:17" x14ac:dyDescent="0.3">
      <c r="A190" s="6" t="s">
        <v>531</v>
      </c>
      <c r="B190" s="7">
        <v>45769</v>
      </c>
      <c r="C190" s="6" t="s">
        <v>98</v>
      </c>
      <c r="D190" s="6" t="s">
        <v>99</v>
      </c>
      <c r="E190" s="6" t="s">
        <v>87</v>
      </c>
      <c r="F190" s="6" t="s">
        <v>88</v>
      </c>
      <c r="G190" s="6" t="s">
        <v>22</v>
      </c>
      <c r="H190" s="6" t="s">
        <v>23</v>
      </c>
      <c r="I190" s="6">
        <v>6</v>
      </c>
      <c r="J190" s="8">
        <v>432000</v>
      </c>
      <c r="K190" s="9">
        <v>0.02</v>
      </c>
      <c r="L190" s="10">
        <v>2540160</v>
      </c>
      <c r="M190" s="6">
        <v>1800000</v>
      </c>
      <c r="N190" s="6">
        <v>740160</v>
      </c>
      <c r="O190" s="6" t="s">
        <v>68</v>
      </c>
      <c r="P190" s="6" t="s">
        <v>119</v>
      </c>
      <c r="Q190" s="6" t="s">
        <v>26</v>
      </c>
    </row>
    <row r="191" spans="1:17" x14ac:dyDescent="0.3">
      <c r="A191" s="6" t="s">
        <v>532</v>
      </c>
      <c r="B191" s="7">
        <v>45769</v>
      </c>
      <c r="C191" s="6" t="s">
        <v>533</v>
      </c>
      <c r="D191" s="6" t="s">
        <v>534</v>
      </c>
      <c r="E191" s="6" t="s">
        <v>20</v>
      </c>
      <c r="F191" s="6" t="s">
        <v>21</v>
      </c>
      <c r="G191" s="6" t="s">
        <v>38</v>
      </c>
      <c r="H191" s="6" t="s">
        <v>127</v>
      </c>
      <c r="I191" s="6">
        <v>3</v>
      </c>
      <c r="J191" s="8">
        <v>245800</v>
      </c>
      <c r="K191" s="9">
        <v>0.05</v>
      </c>
      <c r="L191" s="10">
        <v>700530</v>
      </c>
      <c r="M191" s="6">
        <v>495000</v>
      </c>
      <c r="N191" s="6">
        <v>205530</v>
      </c>
      <c r="O191" s="6" t="s">
        <v>24</v>
      </c>
      <c r="P191" s="6" t="s">
        <v>25</v>
      </c>
      <c r="Q191" s="6" t="s">
        <v>26</v>
      </c>
    </row>
    <row r="192" spans="1:17" x14ac:dyDescent="0.3">
      <c r="A192" s="6" t="s">
        <v>535</v>
      </c>
      <c r="B192" s="7">
        <v>45769</v>
      </c>
      <c r="C192" s="6" t="s">
        <v>536</v>
      </c>
      <c r="D192" s="6" t="s">
        <v>537</v>
      </c>
      <c r="E192" s="6" t="s">
        <v>30</v>
      </c>
      <c r="F192" s="6" t="s">
        <v>222</v>
      </c>
      <c r="G192" s="6" t="s">
        <v>38</v>
      </c>
      <c r="H192" s="6" t="s">
        <v>53</v>
      </c>
      <c r="I192" s="6">
        <v>7</v>
      </c>
      <c r="J192" s="8">
        <v>371900</v>
      </c>
      <c r="K192" s="9">
        <v>0.02</v>
      </c>
      <c r="L192" s="10">
        <v>2551234</v>
      </c>
      <c r="M192" s="6">
        <v>1960000</v>
      </c>
      <c r="N192" s="6">
        <v>591234</v>
      </c>
      <c r="O192" s="6" t="s">
        <v>31</v>
      </c>
      <c r="P192" s="6" t="s">
        <v>63</v>
      </c>
      <c r="Q192" s="6" t="s">
        <v>26</v>
      </c>
    </row>
    <row r="193" spans="1:17" x14ac:dyDescent="0.3">
      <c r="A193" s="6" t="s">
        <v>538</v>
      </c>
      <c r="B193" s="7">
        <v>45769</v>
      </c>
      <c r="C193" s="6" t="s">
        <v>362</v>
      </c>
      <c r="D193" s="6" t="s">
        <v>363</v>
      </c>
      <c r="E193" s="6" t="s">
        <v>20</v>
      </c>
      <c r="F193" s="6" t="s">
        <v>20</v>
      </c>
      <c r="G193" s="6" t="s">
        <v>38</v>
      </c>
      <c r="H193" s="6" t="s">
        <v>53</v>
      </c>
      <c r="I193" s="6">
        <v>6</v>
      </c>
      <c r="J193" s="8">
        <v>401600</v>
      </c>
      <c r="K193" s="9">
        <v>0.08</v>
      </c>
      <c r="L193" s="10">
        <v>2216832</v>
      </c>
      <c r="M193" s="6">
        <v>1680000</v>
      </c>
      <c r="N193" s="6">
        <v>536832</v>
      </c>
      <c r="O193" s="6" t="s">
        <v>24</v>
      </c>
      <c r="P193" s="6" t="s">
        <v>63</v>
      </c>
      <c r="Q193" s="6" t="s">
        <v>26</v>
      </c>
    </row>
    <row r="194" spans="1:17" x14ac:dyDescent="0.3">
      <c r="A194" s="6" t="s">
        <v>539</v>
      </c>
      <c r="B194" s="7">
        <v>45770</v>
      </c>
      <c r="C194" s="6" t="s">
        <v>540</v>
      </c>
      <c r="D194" s="6" t="s">
        <v>541</v>
      </c>
      <c r="E194" s="6" t="s">
        <v>36</v>
      </c>
      <c r="F194" s="6" t="s">
        <v>37</v>
      </c>
      <c r="G194" s="6" t="s">
        <v>44</v>
      </c>
      <c r="H194" s="6" t="s">
        <v>73</v>
      </c>
      <c r="I194" s="6">
        <v>5</v>
      </c>
      <c r="J194" s="8">
        <v>288900</v>
      </c>
      <c r="K194" s="9">
        <v>0.08</v>
      </c>
      <c r="L194" s="10">
        <v>1328940</v>
      </c>
      <c r="M194" s="6">
        <v>1050000</v>
      </c>
      <c r="N194" s="6">
        <v>278940</v>
      </c>
      <c r="O194" s="6" t="s">
        <v>104</v>
      </c>
      <c r="P194" s="6" t="s">
        <v>25</v>
      </c>
      <c r="Q194" s="6" t="s">
        <v>26</v>
      </c>
    </row>
    <row r="195" spans="1:17" x14ac:dyDescent="0.3">
      <c r="A195" s="6" t="s">
        <v>542</v>
      </c>
      <c r="B195" s="7">
        <v>45770</v>
      </c>
      <c r="C195" s="6" t="s">
        <v>342</v>
      </c>
      <c r="D195" s="6" t="s">
        <v>343</v>
      </c>
      <c r="E195" s="6" t="s">
        <v>36</v>
      </c>
      <c r="F195" s="6" t="s">
        <v>37</v>
      </c>
      <c r="G195" s="6" t="s">
        <v>38</v>
      </c>
      <c r="H195" s="6" t="s">
        <v>39</v>
      </c>
      <c r="I195" s="6">
        <v>3</v>
      </c>
      <c r="J195" s="8">
        <v>29500</v>
      </c>
      <c r="K195" s="9">
        <v>0.02</v>
      </c>
      <c r="L195" s="10">
        <v>-86730</v>
      </c>
      <c r="M195" s="6">
        <v>-45000</v>
      </c>
      <c r="N195" s="6">
        <v>-41730</v>
      </c>
      <c r="O195" s="6" t="s">
        <v>104</v>
      </c>
      <c r="P195" s="6" t="s">
        <v>54</v>
      </c>
      <c r="Q195" s="6" t="s">
        <v>105</v>
      </c>
    </row>
    <row r="196" spans="1:17" x14ac:dyDescent="0.3">
      <c r="A196" s="6" t="s">
        <v>543</v>
      </c>
      <c r="B196" s="7">
        <v>45771</v>
      </c>
      <c r="C196" s="6" t="s">
        <v>478</v>
      </c>
      <c r="D196" s="6" t="s">
        <v>479</v>
      </c>
      <c r="E196" s="6" t="s">
        <v>20</v>
      </c>
      <c r="F196" s="6" t="s">
        <v>20</v>
      </c>
      <c r="G196" s="6" t="s">
        <v>22</v>
      </c>
      <c r="H196" s="6" t="s">
        <v>23</v>
      </c>
      <c r="I196" s="6">
        <v>1</v>
      </c>
      <c r="J196" s="8">
        <v>423600</v>
      </c>
      <c r="K196" s="9">
        <v>0.02</v>
      </c>
      <c r="L196" s="10">
        <v>415128</v>
      </c>
      <c r="M196" s="6">
        <v>300000</v>
      </c>
      <c r="N196" s="6">
        <v>115128</v>
      </c>
      <c r="O196" s="6" t="s">
        <v>68</v>
      </c>
      <c r="P196" s="6" t="s">
        <v>25</v>
      </c>
      <c r="Q196" s="6" t="s">
        <v>26</v>
      </c>
    </row>
    <row r="197" spans="1:17" x14ac:dyDescent="0.3">
      <c r="A197" s="6" t="s">
        <v>544</v>
      </c>
      <c r="B197" s="7">
        <v>45772</v>
      </c>
      <c r="C197" s="6" t="s">
        <v>180</v>
      </c>
      <c r="D197" s="6" t="s">
        <v>181</v>
      </c>
      <c r="E197" s="6" t="s">
        <v>87</v>
      </c>
      <c r="F197" s="6" t="s">
        <v>131</v>
      </c>
      <c r="G197" s="6" t="s">
        <v>38</v>
      </c>
      <c r="H197" s="6" t="s">
        <v>214</v>
      </c>
      <c r="I197" s="6">
        <v>3</v>
      </c>
      <c r="J197" s="8">
        <v>43500</v>
      </c>
      <c r="K197" s="9">
        <v>0.02</v>
      </c>
      <c r="L197" s="10">
        <v>127890</v>
      </c>
      <c r="M197" s="6">
        <v>78000</v>
      </c>
      <c r="N197" s="6">
        <v>49890</v>
      </c>
      <c r="O197" s="6" t="s">
        <v>104</v>
      </c>
      <c r="P197" s="6" t="s">
        <v>163</v>
      </c>
      <c r="Q197" s="6" t="s">
        <v>26</v>
      </c>
    </row>
    <row r="198" spans="1:17" x14ac:dyDescent="0.3">
      <c r="A198" s="6" t="s">
        <v>545</v>
      </c>
      <c r="B198" s="7">
        <v>45772</v>
      </c>
      <c r="C198" s="6" t="s">
        <v>140</v>
      </c>
      <c r="D198" s="6" t="s">
        <v>141</v>
      </c>
      <c r="E198" s="6" t="s">
        <v>20</v>
      </c>
      <c r="F198" s="6" t="s">
        <v>123</v>
      </c>
      <c r="G198" s="6" t="s">
        <v>78</v>
      </c>
      <c r="H198" s="6" t="s">
        <v>318</v>
      </c>
      <c r="I198" s="6">
        <v>7</v>
      </c>
      <c r="J198" s="8">
        <v>70800</v>
      </c>
      <c r="K198" s="9">
        <v>0.1</v>
      </c>
      <c r="L198" s="10">
        <v>446040</v>
      </c>
      <c r="M198" s="6">
        <v>301000</v>
      </c>
      <c r="N198" s="6">
        <v>145040</v>
      </c>
      <c r="O198" s="6" t="s">
        <v>68</v>
      </c>
      <c r="P198" s="6" t="s">
        <v>74</v>
      </c>
      <c r="Q198" s="6" t="s">
        <v>26</v>
      </c>
    </row>
    <row r="199" spans="1:17" x14ac:dyDescent="0.3">
      <c r="A199" s="6" t="s">
        <v>546</v>
      </c>
      <c r="B199" s="7">
        <v>45773</v>
      </c>
      <c r="C199" s="6" t="s">
        <v>547</v>
      </c>
      <c r="D199" s="6" t="s">
        <v>548</v>
      </c>
      <c r="E199" s="6" t="s">
        <v>20</v>
      </c>
      <c r="F199" s="6" t="s">
        <v>21</v>
      </c>
      <c r="G199" s="6" t="s">
        <v>38</v>
      </c>
      <c r="H199" s="6" t="s">
        <v>53</v>
      </c>
      <c r="I199" s="6">
        <v>6</v>
      </c>
      <c r="J199" s="8">
        <v>394000</v>
      </c>
      <c r="K199" s="9">
        <v>0.02</v>
      </c>
      <c r="L199" s="10">
        <v>2316720</v>
      </c>
      <c r="M199" s="6">
        <v>1680000</v>
      </c>
      <c r="N199" s="6">
        <v>636720</v>
      </c>
      <c r="O199" s="6" t="s">
        <v>68</v>
      </c>
      <c r="P199" s="6" t="s">
        <v>63</v>
      </c>
      <c r="Q199" s="6" t="s">
        <v>26</v>
      </c>
    </row>
    <row r="200" spans="1:17" x14ac:dyDescent="0.3">
      <c r="A200" s="6" t="s">
        <v>549</v>
      </c>
      <c r="B200" s="7">
        <v>45773</v>
      </c>
      <c r="C200" s="6" t="s">
        <v>550</v>
      </c>
      <c r="D200" s="6" t="s">
        <v>551</v>
      </c>
      <c r="E200" s="6" t="s">
        <v>87</v>
      </c>
      <c r="F200" s="6" t="s">
        <v>135</v>
      </c>
      <c r="G200" s="6" t="s">
        <v>22</v>
      </c>
      <c r="H200" s="6" t="s">
        <v>83</v>
      </c>
      <c r="I200" s="6">
        <v>4</v>
      </c>
      <c r="J200" s="8">
        <v>603300</v>
      </c>
      <c r="K200" s="9">
        <v>0.05</v>
      </c>
      <c r="L200" s="10">
        <v>2292540</v>
      </c>
      <c r="M200" s="6">
        <v>1880000</v>
      </c>
      <c r="N200" s="6">
        <v>412540</v>
      </c>
      <c r="O200" s="6" t="s">
        <v>24</v>
      </c>
      <c r="P200" s="6" t="s">
        <v>54</v>
      </c>
      <c r="Q200" s="6" t="s">
        <v>26</v>
      </c>
    </row>
    <row r="201" spans="1:17" x14ac:dyDescent="0.3">
      <c r="A201" s="6" t="s">
        <v>552</v>
      </c>
      <c r="B201" s="7">
        <v>45773</v>
      </c>
      <c r="C201" s="6" t="s">
        <v>387</v>
      </c>
      <c r="D201" s="6" t="s">
        <v>388</v>
      </c>
      <c r="E201" s="6" t="s">
        <v>20</v>
      </c>
      <c r="F201" s="6" t="s">
        <v>20</v>
      </c>
      <c r="G201" s="6" t="s">
        <v>38</v>
      </c>
      <c r="H201" s="6" t="s">
        <v>39</v>
      </c>
      <c r="I201" s="6">
        <v>7</v>
      </c>
      <c r="J201" s="8">
        <v>28000</v>
      </c>
      <c r="K201" s="9">
        <v>0.08</v>
      </c>
      <c r="L201" s="10">
        <v>180320</v>
      </c>
      <c r="M201" s="6">
        <v>105000</v>
      </c>
      <c r="N201" s="6">
        <v>75320</v>
      </c>
      <c r="O201" s="6" t="s">
        <v>68</v>
      </c>
      <c r="P201" s="6" t="s">
        <v>32</v>
      </c>
      <c r="Q201" s="6" t="s">
        <v>26</v>
      </c>
    </row>
    <row r="202" spans="1:17" x14ac:dyDescent="0.3">
      <c r="A202" s="6" t="s">
        <v>553</v>
      </c>
      <c r="B202" s="7">
        <v>45774</v>
      </c>
      <c r="C202" s="6" t="s">
        <v>554</v>
      </c>
      <c r="D202" s="6" t="s">
        <v>555</v>
      </c>
      <c r="E202" s="6" t="s">
        <v>20</v>
      </c>
      <c r="F202" s="6" t="s">
        <v>62</v>
      </c>
      <c r="G202" s="6" t="s">
        <v>78</v>
      </c>
      <c r="H202" s="6" t="s">
        <v>188</v>
      </c>
      <c r="I202" s="6">
        <v>4</v>
      </c>
      <c r="J202" s="8">
        <v>83900</v>
      </c>
      <c r="K202" s="9">
        <v>0.02</v>
      </c>
      <c r="L202" s="10">
        <v>328888</v>
      </c>
      <c r="M202" s="6">
        <v>208000</v>
      </c>
      <c r="N202" s="6">
        <v>120888</v>
      </c>
      <c r="O202" s="6" t="s">
        <v>31</v>
      </c>
      <c r="P202" s="6" t="s">
        <v>163</v>
      </c>
      <c r="Q202" s="6" t="s">
        <v>26</v>
      </c>
    </row>
    <row r="203" spans="1:17" x14ac:dyDescent="0.3">
      <c r="A203" s="6" t="s">
        <v>556</v>
      </c>
      <c r="B203" s="7">
        <v>45774</v>
      </c>
      <c r="C203" s="6" t="s">
        <v>557</v>
      </c>
      <c r="D203" s="6" t="s">
        <v>558</v>
      </c>
      <c r="E203" s="6" t="s">
        <v>87</v>
      </c>
      <c r="F203" s="6" t="s">
        <v>131</v>
      </c>
      <c r="G203" s="6" t="s">
        <v>78</v>
      </c>
      <c r="H203" s="6" t="s">
        <v>79</v>
      </c>
      <c r="I203" s="6">
        <v>7</v>
      </c>
      <c r="J203" s="8">
        <v>34000</v>
      </c>
      <c r="K203" s="9">
        <v>0.05</v>
      </c>
      <c r="L203" s="10">
        <v>0</v>
      </c>
      <c r="M203" s="6">
        <v>0</v>
      </c>
      <c r="N203" s="6">
        <v>0</v>
      </c>
      <c r="O203" s="6" t="s">
        <v>31</v>
      </c>
      <c r="P203" s="6" t="s">
        <v>163</v>
      </c>
      <c r="Q203" s="6" t="s">
        <v>69</v>
      </c>
    </row>
    <row r="204" spans="1:17" x14ac:dyDescent="0.3">
      <c r="A204" s="6" t="s">
        <v>559</v>
      </c>
      <c r="B204" s="7">
        <v>45774</v>
      </c>
      <c r="C204" s="6" t="s">
        <v>283</v>
      </c>
      <c r="D204" s="6" t="s">
        <v>284</v>
      </c>
      <c r="E204" s="6" t="s">
        <v>36</v>
      </c>
      <c r="F204" s="6" t="s">
        <v>37</v>
      </c>
      <c r="G204" s="6" t="s">
        <v>38</v>
      </c>
      <c r="H204" s="6" t="s">
        <v>127</v>
      </c>
      <c r="I204" s="6">
        <v>6</v>
      </c>
      <c r="J204" s="8">
        <v>225800</v>
      </c>
      <c r="K204" s="9">
        <v>0.08</v>
      </c>
      <c r="L204" s="10">
        <v>1246416</v>
      </c>
      <c r="M204" s="6">
        <v>990000</v>
      </c>
      <c r="N204" s="6">
        <v>256416</v>
      </c>
      <c r="O204" s="6" t="s">
        <v>40</v>
      </c>
      <c r="P204" s="6" t="s">
        <v>54</v>
      </c>
      <c r="Q204" s="6" t="s">
        <v>26</v>
      </c>
    </row>
    <row r="205" spans="1:17" x14ac:dyDescent="0.3">
      <c r="A205" s="6" t="s">
        <v>560</v>
      </c>
      <c r="B205" s="7">
        <v>45775</v>
      </c>
      <c r="C205" s="6" t="s">
        <v>561</v>
      </c>
      <c r="D205" s="6" t="s">
        <v>562</v>
      </c>
      <c r="E205" s="6" t="s">
        <v>20</v>
      </c>
      <c r="F205" s="6" t="s">
        <v>62</v>
      </c>
      <c r="G205" s="6" t="s">
        <v>44</v>
      </c>
      <c r="H205" s="6" t="s">
        <v>89</v>
      </c>
      <c r="I205" s="6">
        <v>3</v>
      </c>
      <c r="J205" s="8">
        <v>172100</v>
      </c>
      <c r="K205" s="9">
        <v>0.02</v>
      </c>
      <c r="L205" s="10">
        <v>0</v>
      </c>
      <c r="M205" s="6">
        <v>0</v>
      </c>
      <c r="N205" s="6">
        <v>0</v>
      </c>
      <c r="O205" s="6" t="s">
        <v>24</v>
      </c>
      <c r="P205" s="6" t="s">
        <v>74</v>
      </c>
      <c r="Q205" s="6" t="s">
        <v>69</v>
      </c>
    </row>
    <row r="206" spans="1:17" x14ac:dyDescent="0.3">
      <c r="A206" s="6" t="s">
        <v>563</v>
      </c>
      <c r="B206" s="7">
        <v>45775</v>
      </c>
      <c r="C206" s="6" t="s">
        <v>564</v>
      </c>
      <c r="D206" s="6" t="s">
        <v>565</v>
      </c>
      <c r="E206" s="6" t="s">
        <v>67</v>
      </c>
      <c r="F206" s="6" t="s">
        <v>100</v>
      </c>
      <c r="G206" s="6" t="s">
        <v>38</v>
      </c>
      <c r="H206" s="6" t="s">
        <v>53</v>
      </c>
      <c r="I206" s="6">
        <v>4</v>
      </c>
      <c r="J206" s="8">
        <v>373800</v>
      </c>
      <c r="K206" s="9">
        <v>0.08</v>
      </c>
      <c r="L206" s="10">
        <v>1375584</v>
      </c>
      <c r="M206" s="6">
        <v>1120000</v>
      </c>
      <c r="N206" s="6">
        <v>255584</v>
      </c>
      <c r="O206" s="6" t="s">
        <v>24</v>
      </c>
      <c r="P206" s="6" t="s">
        <v>119</v>
      </c>
      <c r="Q206" s="6" t="s">
        <v>26</v>
      </c>
    </row>
    <row r="207" spans="1:17" x14ac:dyDescent="0.3">
      <c r="A207" s="6" t="s">
        <v>566</v>
      </c>
      <c r="B207" s="7">
        <v>45775</v>
      </c>
      <c r="C207" s="6" t="s">
        <v>161</v>
      </c>
      <c r="D207" s="6" t="s">
        <v>162</v>
      </c>
      <c r="E207" s="6" t="s">
        <v>30</v>
      </c>
      <c r="F207" s="6" t="s">
        <v>30</v>
      </c>
      <c r="G207" s="6" t="s">
        <v>38</v>
      </c>
      <c r="H207" s="6" t="s">
        <v>214</v>
      </c>
      <c r="I207" s="6">
        <v>4</v>
      </c>
      <c r="J207" s="8">
        <v>44500</v>
      </c>
      <c r="K207" s="9">
        <v>0</v>
      </c>
      <c r="L207" s="10">
        <v>-178000</v>
      </c>
      <c r="M207" s="6">
        <v>-104000</v>
      </c>
      <c r="N207" s="6">
        <v>-74000</v>
      </c>
      <c r="O207" s="6" t="s">
        <v>40</v>
      </c>
      <c r="P207" s="6" t="s">
        <v>54</v>
      </c>
      <c r="Q207" s="6" t="s">
        <v>105</v>
      </c>
    </row>
    <row r="208" spans="1:17" x14ac:dyDescent="0.3">
      <c r="A208" s="6" t="s">
        <v>567</v>
      </c>
      <c r="B208" s="7">
        <v>45775</v>
      </c>
      <c r="C208" s="6" t="s">
        <v>568</v>
      </c>
      <c r="D208" s="6" t="s">
        <v>569</v>
      </c>
      <c r="E208" s="6" t="s">
        <v>67</v>
      </c>
      <c r="F208" s="6" t="s">
        <v>100</v>
      </c>
      <c r="G208" s="6" t="s">
        <v>44</v>
      </c>
      <c r="H208" s="6" t="s">
        <v>45</v>
      </c>
      <c r="I208" s="6">
        <v>6</v>
      </c>
      <c r="J208" s="8">
        <v>516800</v>
      </c>
      <c r="K208" s="9">
        <v>0.02</v>
      </c>
      <c r="L208" s="10">
        <v>3038784</v>
      </c>
      <c r="M208" s="6">
        <v>2190000</v>
      </c>
      <c r="N208" s="6">
        <v>848784</v>
      </c>
      <c r="O208" s="6" t="s">
        <v>68</v>
      </c>
      <c r="P208" s="6" t="s">
        <v>25</v>
      </c>
      <c r="Q208" s="6" t="s">
        <v>26</v>
      </c>
    </row>
    <row r="209" spans="1:17" x14ac:dyDescent="0.3">
      <c r="A209" s="6" t="s">
        <v>570</v>
      </c>
      <c r="B209" s="7">
        <v>45775</v>
      </c>
      <c r="C209" s="6" t="s">
        <v>199</v>
      </c>
      <c r="D209" s="6" t="s">
        <v>200</v>
      </c>
      <c r="E209" s="6" t="s">
        <v>30</v>
      </c>
      <c r="F209" s="6" t="s">
        <v>30</v>
      </c>
      <c r="G209" s="6" t="s">
        <v>38</v>
      </c>
      <c r="H209" s="6" t="s">
        <v>127</v>
      </c>
      <c r="I209" s="6">
        <v>7</v>
      </c>
      <c r="J209" s="8">
        <v>225300</v>
      </c>
      <c r="K209" s="9">
        <v>0.05</v>
      </c>
      <c r="L209" s="10">
        <v>1498245</v>
      </c>
      <c r="M209" s="6">
        <v>1155000</v>
      </c>
      <c r="N209" s="6">
        <v>343245</v>
      </c>
      <c r="O209" s="6" t="s">
        <v>104</v>
      </c>
      <c r="P209" s="6" t="s">
        <v>90</v>
      </c>
      <c r="Q209" s="6" t="s">
        <v>26</v>
      </c>
    </row>
    <row r="210" spans="1:17" x14ac:dyDescent="0.3">
      <c r="A210" s="6" t="s">
        <v>571</v>
      </c>
      <c r="B210" s="7">
        <v>45776</v>
      </c>
      <c r="C210" s="6" t="s">
        <v>561</v>
      </c>
      <c r="D210" s="6" t="s">
        <v>562</v>
      </c>
      <c r="E210" s="6" t="s">
        <v>36</v>
      </c>
      <c r="F210" s="6" t="s">
        <v>37</v>
      </c>
      <c r="G210" s="6" t="s">
        <v>22</v>
      </c>
      <c r="H210" s="6" t="s">
        <v>23</v>
      </c>
      <c r="I210" s="6">
        <v>4</v>
      </c>
      <c r="J210" s="8">
        <v>451100</v>
      </c>
      <c r="K210" s="9">
        <v>0</v>
      </c>
      <c r="L210" s="10">
        <v>1804400</v>
      </c>
      <c r="M210" s="6">
        <v>1200000</v>
      </c>
      <c r="N210" s="6">
        <v>604400</v>
      </c>
      <c r="O210" s="6" t="s">
        <v>40</v>
      </c>
      <c r="P210" s="6" t="s">
        <v>74</v>
      </c>
      <c r="Q210" s="6" t="s">
        <v>26</v>
      </c>
    </row>
    <row r="211" spans="1:17" x14ac:dyDescent="0.3">
      <c r="A211" s="6" t="s">
        <v>572</v>
      </c>
      <c r="B211" s="7">
        <v>45776</v>
      </c>
      <c r="C211" s="6" t="s">
        <v>573</v>
      </c>
      <c r="D211" s="6" t="s">
        <v>574</v>
      </c>
      <c r="E211" s="6" t="s">
        <v>36</v>
      </c>
      <c r="F211" s="6" t="s">
        <v>37</v>
      </c>
      <c r="G211" s="6" t="s">
        <v>44</v>
      </c>
      <c r="H211" s="6" t="s">
        <v>45</v>
      </c>
      <c r="I211" s="6">
        <v>1</v>
      </c>
      <c r="J211" s="8">
        <v>509700</v>
      </c>
      <c r="K211" s="9">
        <v>0.08</v>
      </c>
      <c r="L211" s="10">
        <v>468924</v>
      </c>
      <c r="M211" s="6">
        <v>365000</v>
      </c>
      <c r="N211" s="6">
        <v>103924</v>
      </c>
      <c r="O211" s="6" t="s">
        <v>104</v>
      </c>
      <c r="P211" s="6" t="s">
        <v>90</v>
      </c>
      <c r="Q211" s="6" t="s">
        <v>26</v>
      </c>
    </row>
    <row r="212" spans="1:17" x14ac:dyDescent="0.3">
      <c r="A212" s="6" t="s">
        <v>575</v>
      </c>
      <c r="B212" s="7">
        <v>45778</v>
      </c>
      <c r="C212" s="6" t="s">
        <v>217</v>
      </c>
      <c r="D212" s="6" t="s">
        <v>218</v>
      </c>
      <c r="E212" s="6" t="s">
        <v>30</v>
      </c>
      <c r="F212" s="6" t="s">
        <v>30</v>
      </c>
      <c r="G212" s="6" t="s">
        <v>78</v>
      </c>
      <c r="H212" s="6" t="s">
        <v>115</v>
      </c>
      <c r="I212" s="6">
        <v>7</v>
      </c>
      <c r="J212" s="8">
        <v>88700</v>
      </c>
      <c r="K212" s="9">
        <v>0</v>
      </c>
      <c r="L212" s="10">
        <v>620900</v>
      </c>
      <c r="M212" s="6">
        <v>406000</v>
      </c>
      <c r="N212" s="6">
        <v>214900</v>
      </c>
      <c r="O212" s="6" t="s">
        <v>31</v>
      </c>
      <c r="P212" s="6" t="s">
        <v>32</v>
      </c>
      <c r="Q212" s="6" t="s">
        <v>26</v>
      </c>
    </row>
    <row r="213" spans="1:17" x14ac:dyDescent="0.3">
      <c r="A213" s="6" t="s">
        <v>576</v>
      </c>
      <c r="B213" s="7">
        <v>45779</v>
      </c>
      <c r="C213" s="6" t="s">
        <v>577</v>
      </c>
      <c r="D213" s="6" t="s">
        <v>578</v>
      </c>
      <c r="E213" s="6" t="s">
        <v>67</v>
      </c>
      <c r="F213" s="6" t="s">
        <v>100</v>
      </c>
      <c r="G213" s="6" t="s">
        <v>78</v>
      </c>
      <c r="H213" s="6" t="s">
        <v>115</v>
      </c>
      <c r="I213" s="6">
        <v>1</v>
      </c>
      <c r="J213" s="8">
        <v>90600</v>
      </c>
      <c r="K213" s="9">
        <v>0.05</v>
      </c>
      <c r="L213" s="10">
        <v>86070</v>
      </c>
      <c r="M213" s="6">
        <v>58000</v>
      </c>
      <c r="N213" s="6">
        <v>28070</v>
      </c>
      <c r="O213" s="6" t="s">
        <v>24</v>
      </c>
      <c r="P213" s="6" t="s">
        <v>163</v>
      </c>
      <c r="Q213" s="6" t="s">
        <v>26</v>
      </c>
    </row>
    <row r="214" spans="1:17" x14ac:dyDescent="0.3">
      <c r="A214" s="6" t="s">
        <v>579</v>
      </c>
      <c r="B214" s="7">
        <v>45780</v>
      </c>
      <c r="C214" s="6" t="s">
        <v>580</v>
      </c>
      <c r="D214" s="6" t="s">
        <v>581</v>
      </c>
      <c r="E214" s="6" t="s">
        <v>30</v>
      </c>
      <c r="F214" s="6" t="s">
        <v>159</v>
      </c>
      <c r="G214" s="6" t="s">
        <v>44</v>
      </c>
      <c r="H214" s="6" t="s">
        <v>45</v>
      </c>
      <c r="I214" s="6">
        <v>6</v>
      </c>
      <c r="J214" s="8">
        <v>521000</v>
      </c>
      <c r="K214" s="9">
        <v>0.05</v>
      </c>
      <c r="L214" s="10">
        <v>2969700</v>
      </c>
      <c r="M214" s="6">
        <v>2190000</v>
      </c>
      <c r="N214" s="6">
        <v>779700</v>
      </c>
      <c r="O214" s="6" t="s">
        <v>104</v>
      </c>
      <c r="P214" s="6" t="s">
        <v>74</v>
      </c>
      <c r="Q214" s="6" t="s">
        <v>26</v>
      </c>
    </row>
    <row r="215" spans="1:17" x14ac:dyDescent="0.3">
      <c r="A215" s="6" t="s">
        <v>582</v>
      </c>
      <c r="B215" s="7">
        <v>45780</v>
      </c>
      <c r="C215" s="6" t="s">
        <v>205</v>
      </c>
      <c r="D215" s="6" t="s">
        <v>206</v>
      </c>
      <c r="E215" s="6" t="s">
        <v>30</v>
      </c>
      <c r="F215" s="6" t="s">
        <v>159</v>
      </c>
      <c r="G215" s="6" t="s">
        <v>38</v>
      </c>
      <c r="H215" s="6" t="s">
        <v>127</v>
      </c>
      <c r="I215" s="6">
        <v>7</v>
      </c>
      <c r="J215" s="8">
        <v>250300</v>
      </c>
      <c r="K215" s="9">
        <v>0.08</v>
      </c>
      <c r="L215" s="10">
        <v>1611932</v>
      </c>
      <c r="M215" s="6">
        <v>1155000</v>
      </c>
      <c r="N215" s="6">
        <v>456932</v>
      </c>
      <c r="O215" s="6" t="s">
        <v>104</v>
      </c>
      <c r="P215" s="6" t="s">
        <v>25</v>
      </c>
      <c r="Q215" s="6" t="s">
        <v>26</v>
      </c>
    </row>
    <row r="216" spans="1:17" x14ac:dyDescent="0.3">
      <c r="A216" s="6" t="s">
        <v>583</v>
      </c>
      <c r="B216" s="7">
        <v>45781</v>
      </c>
      <c r="C216" s="6" t="s">
        <v>512</v>
      </c>
      <c r="D216" s="6" t="s">
        <v>513</v>
      </c>
      <c r="E216" s="6" t="s">
        <v>87</v>
      </c>
      <c r="F216" s="6" t="s">
        <v>88</v>
      </c>
      <c r="G216" s="6" t="s">
        <v>38</v>
      </c>
      <c r="H216" s="6" t="s">
        <v>214</v>
      </c>
      <c r="I216" s="6">
        <v>6</v>
      </c>
      <c r="J216" s="8">
        <v>42100</v>
      </c>
      <c r="K216" s="9">
        <v>0.05</v>
      </c>
      <c r="L216" s="10">
        <v>-239970</v>
      </c>
      <c r="M216" s="6">
        <v>-156000</v>
      </c>
      <c r="N216" s="6">
        <v>-83970</v>
      </c>
      <c r="O216" s="6" t="s">
        <v>104</v>
      </c>
      <c r="P216" s="6" t="s">
        <v>32</v>
      </c>
      <c r="Q216" s="6" t="s">
        <v>105</v>
      </c>
    </row>
    <row r="217" spans="1:17" x14ac:dyDescent="0.3">
      <c r="A217" s="6" t="s">
        <v>584</v>
      </c>
      <c r="B217" s="7">
        <v>45782</v>
      </c>
      <c r="C217" s="6" t="s">
        <v>349</v>
      </c>
      <c r="D217" s="6" t="s">
        <v>350</v>
      </c>
      <c r="E217" s="6" t="s">
        <v>87</v>
      </c>
      <c r="F217" s="6" t="s">
        <v>135</v>
      </c>
      <c r="G217" s="6" t="s">
        <v>44</v>
      </c>
      <c r="H217" s="6" t="s">
        <v>45</v>
      </c>
      <c r="I217" s="6">
        <v>2</v>
      </c>
      <c r="J217" s="8">
        <v>482400</v>
      </c>
      <c r="K217" s="9">
        <v>0</v>
      </c>
      <c r="L217" s="10">
        <v>964800</v>
      </c>
      <c r="M217" s="6">
        <v>730000</v>
      </c>
      <c r="N217" s="6">
        <v>234800</v>
      </c>
      <c r="O217" s="6" t="s">
        <v>31</v>
      </c>
      <c r="P217" s="6" t="s">
        <v>163</v>
      </c>
      <c r="Q217" s="6" t="s">
        <v>26</v>
      </c>
    </row>
    <row r="218" spans="1:17" x14ac:dyDescent="0.3">
      <c r="A218" s="6" t="s">
        <v>585</v>
      </c>
      <c r="B218" s="7">
        <v>45782</v>
      </c>
      <c r="C218" s="6" t="s">
        <v>85</v>
      </c>
      <c r="D218" s="6" t="s">
        <v>86</v>
      </c>
      <c r="E218" s="6" t="s">
        <v>30</v>
      </c>
      <c r="F218" s="6" t="s">
        <v>159</v>
      </c>
      <c r="G218" s="6" t="s">
        <v>22</v>
      </c>
      <c r="H218" s="6" t="s">
        <v>83</v>
      </c>
      <c r="I218" s="6">
        <v>2</v>
      </c>
      <c r="J218" s="8">
        <v>602500</v>
      </c>
      <c r="K218" s="9">
        <v>0.08</v>
      </c>
      <c r="L218" s="10">
        <v>1108600</v>
      </c>
      <c r="M218" s="6">
        <v>940000</v>
      </c>
      <c r="N218" s="6">
        <v>168600</v>
      </c>
      <c r="O218" s="6" t="s">
        <v>68</v>
      </c>
      <c r="P218" s="6" t="s">
        <v>63</v>
      </c>
      <c r="Q218" s="6" t="s">
        <v>26</v>
      </c>
    </row>
    <row r="219" spans="1:17" x14ac:dyDescent="0.3">
      <c r="A219" s="6" t="s">
        <v>586</v>
      </c>
      <c r="B219" s="7">
        <v>45782</v>
      </c>
      <c r="C219" s="6" t="s">
        <v>244</v>
      </c>
      <c r="D219" s="6" t="s">
        <v>245</v>
      </c>
      <c r="E219" s="6" t="s">
        <v>36</v>
      </c>
      <c r="F219" s="6" t="s">
        <v>155</v>
      </c>
      <c r="G219" s="6" t="s">
        <v>22</v>
      </c>
      <c r="H219" s="6" t="s">
        <v>83</v>
      </c>
      <c r="I219" s="6">
        <v>5</v>
      </c>
      <c r="J219" s="8">
        <v>665800</v>
      </c>
      <c r="K219" s="9">
        <v>0.08</v>
      </c>
      <c r="L219" s="10">
        <v>3062680</v>
      </c>
      <c r="M219" s="6">
        <v>2350000</v>
      </c>
      <c r="N219" s="6">
        <v>712680</v>
      </c>
      <c r="O219" s="6" t="s">
        <v>24</v>
      </c>
      <c r="P219" s="6" t="s">
        <v>54</v>
      </c>
      <c r="Q219" s="6" t="s">
        <v>26</v>
      </c>
    </row>
    <row r="220" spans="1:17" x14ac:dyDescent="0.3">
      <c r="A220" s="6" t="s">
        <v>587</v>
      </c>
      <c r="B220" s="7">
        <v>45782</v>
      </c>
      <c r="C220" s="6" t="s">
        <v>588</v>
      </c>
      <c r="D220" s="6" t="s">
        <v>589</v>
      </c>
      <c r="E220" s="6" t="s">
        <v>36</v>
      </c>
      <c r="F220" s="6" t="s">
        <v>36</v>
      </c>
      <c r="G220" s="6" t="s">
        <v>22</v>
      </c>
      <c r="H220" s="6" t="s">
        <v>49</v>
      </c>
      <c r="I220" s="6">
        <v>7</v>
      </c>
      <c r="J220" s="8">
        <v>1296600</v>
      </c>
      <c r="K220" s="9">
        <v>0.08</v>
      </c>
      <c r="L220" s="10">
        <v>8350104</v>
      </c>
      <c r="M220" s="6">
        <v>6650000</v>
      </c>
      <c r="N220" s="6">
        <v>1700104</v>
      </c>
      <c r="O220" s="6" t="s">
        <v>40</v>
      </c>
      <c r="P220" s="6" t="s">
        <v>32</v>
      </c>
      <c r="Q220" s="6" t="s">
        <v>26</v>
      </c>
    </row>
    <row r="221" spans="1:17" x14ac:dyDescent="0.3">
      <c r="A221" s="6" t="s">
        <v>590</v>
      </c>
      <c r="B221" s="7">
        <v>45782</v>
      </c>
      <c r="C221" s="6" t="s">
        <v>533</v>
      </c>
      <c r="D221" s="6" t="s">
        <v>534</v>
      </c>
      <c r="E221" s="6" t="s">
        <v>20</v>
      </c>
      <c r="F221" s="6" t="s">
        <v>62</v>
      </c>
      <c r="G221" s="6" t="s">
        <v>22</v>
      </c>
      <c r="H221" s="6" t="s">
        <v>23</v>
      </c>
      <c r="I221" s="6">
        <v>6</v>
      </c>
      <c r="J221" s="8">
        <v>426900</v>
      </c>
      <c r="K221" s="9">
        <v>0.08</v>
      </c>
      <c r="L221" s="10">
        <v>0</v>
      </c>
      <c r="M221" s="6">
        <v>0</v>
      </c>
      <c r="N221" s="6">
        <v>0</v>
      </c>
      <c r="O221" s="6" t="s">
        <v>31</v>
      </c>
      <c r="P221" s="6" t="s">
        <v>74</v>
      </c>
      <c r="Q221" s="6" t="s">
        <v>69</v>
      </c>
    </row>
    <row r="222" spans="1:17" x14ac:dyDescent="0.3">
      <c r="A222" s="6" t="s">
        <v>591</v>
      </c>
      <c r="B222" s="7">
        <v>45783</v>
      </c>
      <c r="C222" s="6" t="s">
        <v>557</v>
      </c>
      <c r="D222" s="6" t="s">
        <v>558</v>
      </c>
      <c r="E222" s="6" t="s">
        <v>30</v>
      </c>
      <c r="F222" s="6" t="s">
        <v>222</v>
      </c>
      <c r="G222" s="6" t="s">
        <v>22</v>
      </c>
      <c r="H222" s="6" t="s">
        <v>83</v>
      </c>
      <c r="I222" s="6">
        <v>2</v>
      </c>
      <c r="J222" s="8">
        <v>646800</v>
      </c>
      <c r="K222" s="9">
        <v>0.1</v>
      </c>
      <c r="L222" s="10">
        <v>1164240</v>
      </c>
      <c r="M222" s="6">
        <v>940000</v>
      </c>
      <c r="N222" s="6">
        <v>224240</v>
      </c>
      <c r="O222" s="6" t="s">
        <v>24</v>
      </c>
      <c r="P222" s="6" t="s">
        <v>63</v>
      </c>
      <c r="Q222" s="6" t="s">
        <v>26</v>
      </c>
    </row>
    <row r="223" spans="1:17" x14ac:dyDescent="0.3">
      <c r="A223" s="6" t="s">
        <v>592</v>
      </c>
      <c r="B223" s="7">
        <v>45784</v>
      </c>
      <c r="C223" s="6" t="s">
        <v>593</v>
      </c>
      <c r="D223" s="6" t="s">
        <v>594</v>
      </c>
      <c r="E223" s="6" t="s">
        <v>20</v>
      </c>
      <c r="F223" s="6" t="s">
        <v>62</v>
      </c>
      <c r="G223" s="6" t="s">
        <v>38</v>
      </c>
      <c r="H223" s="6" t="s">
        <v>53</v>
      </c>
      <c r="I223" s="6">
        <v>6</v>
      </c>
      <c r="J223" s="8">
        <v>354300</v>
      </c>
      <c r="K223" s="9">
        <v>0</v>
      </c>
      <c r="L223" s="10">
        <v>2125800</v>
      </c>
      <c r="M223" s="6">
        <v>1680000</v>
      </c>
      <c r="N223" s="6">
        <v>445800</v>
      </c>
      <c r="O223" s="6" t="s">
        <v>104</v>
      </c>
      <c r="P223" s="6" t="s">
        <v>90</v>
      </c>
      <c r="Q223" s="6" t="s">
        <v>26</v>
      </c>
    </row>
    <row r="224" spans="1:17" x14ac:dyDescent="0.3">
      <c r="A224" s="6" t="s">
        <v>595</v>
      </c>
      <c r="B224" s="7">
        <v>45784</v>
      </c>
      <c r="C224" s="6" t="s">
        <v>265</v>
      </c>
      <c r="D224" s="6" t="s">
        <v>266</v>
      </c>
      <c r="E224" s="6" t="s">
        <v>36</v>
      </c>
      <c r="F224" s="6" t="s">
        <v>37</v>
      </c>
      <c r="G224" s="6" t="s">
        <v>38</v>
      </c>
      <c r="H224" s="6" t="s">
        <v>214</v>
      </c>
      <c r="I224" s="6">
        <v>6</v>
      </c>
      <c r="J224" s="8">
        <v>45700</v>
      </c>
      <c r="K224" s="9">
        <v>0.08</v>
      </c>
      <c r="L224" s="10">
        <v>252264</v>
      </c>
      <c r="M224" s="6">
        <v>156000</v>
      </c>
      <c r="N224" s="6">
        <v>96264</v>
      </c>
      <c r="O224" s="6" t="s">
        <v>104</v>
      </c>
      <c r="P224" s="6" t="s">
        <v>163</v>
      </c>
      <c r="Q224" s="6" t="s">
        <v>26</v>
      </c>
    </row>
    <row r="225" spans="1:17" x14ac:dyDescent="0.3">
      <c r="A225" s="6" t="s">
        <v>596</v>
      </c>
      <c r="B225" s="7">
        <v>45784</v>
      </c>
      <c r="C225" s="6" t="s">
        <v>217</v>
      </c>
      <c r="D225" s="6" t="s">
        <v>218</v>
      </c>
      <c r="E225" s="6" t="s">
        <v>36</v>
      </c>
      <c r="F225" s="6" t="s">
        <v>37</v>
      </c>
      <c r="G225" s="6" t="s">
        <v>38</v>
      </c>
      <c r="H225" s="6" t="s">
        <v>39</v>
      </c>
      <c r="I225" s="6">
        <v>4</v>
      </c>
      <c r="J225" s="8">
        <v>30200</v>
      </c>
      <c r="K225" s="9">
        <v>0</v>
      </c>
      <c r="L225" s="10">
        <v>120800</v>
      </c>
      <c r="M225" s="6">
        <v>60000</v>
      </c>
      <c r="N225" s="6">
        <v>60800</v>
      </c>
      <c r="O225" s="6" t="s">
        <v>24</v>
      </c>
      <c r="P225" s="6" t="s">
        <v>63</v>
      </c>
      <c r="Q225" s="6" t="s">
        <v>26</v>
      </c>
    </row>
    <row r="226" spans="1:17" x14ac:dyDescent="0.3">
      <c r="A226" s="6" t="s">
        <v>597</v>
      </c>
      <c r="B226" s="7">
        <v>45785</v>
      </c>
      <c r="C226" s="6" t="s">
        <v>283</v>
      </c>
      <c r="D226" s="6" t="s">
        <v>284</v>
      </c>
      <c r="E226" s="6" t="s">
        <v>67</v>
      </c>
      <c r="F226" s="6" t="s">
        <v>236</v>
      </c>
      <c r="G226" s="6" t="s">
        <v>22</v>
      </c>
      <c r="H226" s="6" t="s">
        <v>58</v>
      </c>
      <c r="I226" s="6">
        <v>5</v>
      </c>
      <c r="J226" s="8">
        <v>91900</v>
      </c>
      <c r="K226" s="9">
        <v>0.05</v>
      </c>
      <c r="L226" s="10">
        <v>436525</v>
      </c>
      <c r="M226" s="6">
        <v>275000</v>
      </c>
      <c r="N226" s="6">
        <v>161525</v>
      </c>
      <c r="O226" s="6" t="s">
        <v>24</v>
      </c>
      <c r="P226" s="6" t="s">
        <v>90</v>
      </c>
      <c r="Q226" s="6" t="s">
        <v>26</v>
      </c>
    </row>
    <row r="227" spans="1:17" x14ac:dyDescent="0.3">
      <c r="A227" s="6" t="s">
        <v>598</v>
      </c>
      <c r="B227" s="7">
        <v>45785</v>
      </c>
      <c r="C227" s="6" t="s">
        <v>359</v>
      </c>
      <c r="D227" s="6" t="s">
        <v>360</v>
      </c>
      <c r="E227" s="6" t="s">
        <v>30</v>
      </c>
      <c r="F227" s="6" t="s">
        <v>159</v>
      </c>
      <c r="G227" s="6" t="s">
        <v>44</v>
      </c>
      <c r="H227" s="6" t="s">
        <v>45</v>
      </c>
      <c r="I227" s="6">
        <v>1</v>
      </c>
      <c r="J227" s="8">
        <v>491400</v>
      </c>
      <c r="K227" s="9">
        <v>0.02</v>
      </c>
      <c r="L227" s="10">
        <v>481572</v>
      </c>
      <c r="M227" s="6">
        <v>365000</v>
      </c>
      <c r="N227" s="6">
        <v>116572</v>
      </c>
      <c r="O227" s="6" t="s">
        <v>68</v>
      </c>
      <c r="P227" s="6" t="s">
        <v>74</v>
      </c>
      <c r="Q227" s="6" t="s">
        <v>26</v>
      </c>
    </row>
    <row r="228" spans="1:17" x14ac:dyDescent="0.3">
      <c r="A228" s="6" t="s">
        <v>599</v>
      </c>
      <c r="B228" s="7">
        <v>45785</v>
      </c>
      <c r="C228" s="6" t="s">
        <v>600</v>
      </c>
      <c r="D228" s="6" t="s">
        <v>601</v>
      </c>
      <c r="E228" s="6" t="s">
        <v>20</v>
      </c>
      <c r="F228" s="6" t="s">
        <v>21</v>
      </c>
      <c r="G228" s="6" t="s">
        <v>22</v>
      </c>
      <c r="H228" s="6" t="s">
        <v>83</v>
      </c>
      <c r="I228" s="6">
        <v>1</v>
      </c>
      <c r="J228" s="8">
        <v>654300</v>
      </c>
      <c r="K228" s="9">
        <v>0.05</v>
      </c>
      <c r="L228" s="10">
        <v>621585</v>
      </c>
      <c r="M228" s="6">
        <v>470000</v>
      </c>
      <c r="N228" s="6">
        <v>151585</v>
      </c>
      <c r="O228" s="6" t="s">
        <v>104</v>
      </c>
      <c r="P228" s="6" t="s">
        <v>54</v>
      </c>
      <c r="Q228" s="6" t="s">
        <v>26</v>
      </c>
    </row>
    <row r="229" spans="1:17" x14ac:dyDescent="0.3">
      <c r="A229" s="6" t="s">
        <v>602</v>
      </c>
      <c r="B229" s="7">
        <v>45785</v>
      </c>
      <c r="C229" s="6" t="s">
        <v>603</v>
      </c>
      <c r="D229" s="6" t="s">
        <v>604</v>
      </c>
      <c r="E229" s="6" t="s">
        <v>30</v>
      </c>
      <c r="F229" s="6" t="s">
        <v>159</v>
      </c>
      <c r="G229" s="6" t="s">
        <v>38</v>
      </c>
      <c r="H229" s="6" t="s">
        <v>127</v>
      </c>
      <c r="I229" s="6">
        <v>3</v>
      </c>
      <c r="J229" s="8">
        <v>221900</v>
      </c>
      <c r="K229" s="9">
        <v>0.1</v>
      </c>
      <c r="L229" s="10">
        <v>599130</v>
      </c>
      <c r="M229" s="6">
        <v>495000</v>
      </c>
      <c r="N229" s="6">
        <v>104130</v>
      </c>
      <c r="O229" s="6" t="s">
        <v>68</v>
      </c>
      <c r="P229" s="6" t="s">
        <v>32</v>
      </c>
      <c r="Q229" s="6" t="s">
        <v>26</v>
      </c>
    </row>
    <row r="230" spans="1:17" x14ac:dyDescent="0.3">
      <c r="A230" s="6" t="s">
        <v>605</v>
      </c>
      <c r="B230" s="7">
        <v>45785</v>
      </c>
      <c r="C230" s="6" t="s">
        <v>529</v>
      </c>
      <c r="D230" s="6" t="s">
        <v>530</v>
      </c>
      <c r="E230" s="6" t="s">
        <v>36</v>
      </c>
      <c r="F230" s="6" t="s">
        <v>155</v>
      </c>
      <c r="G230" s="6" t="s">
        <v>22</v>
      </c>
      <c r="H230" s="6" t="s">
        <v>83</v>
      </c>
      <c r="I230" s="6">
        <v>5</v>
      </c>
      <c r="J230" s="8">
        <v>696100</v>
      </c>
      <c r="K230" s="9">
        <v>0.05</v>
      </c>
      <c r="L230" s="10">
        <v>3306475</v>
      </c>
      <c r="M230" s="6">
        <v>2350000</v>
      </c>
      <c r="N230" s="6">
        <v>956475</v>
      </c>
      <c r="O230" s="6" t="s">
        <v>68</v>
      </c>
      <c r="P230" s="6" t="s">
        <v>74</v>
      </c>
      <c r="Q230" s="6" t="s">
        <v>26</v>
      </c>
    </row>
    <row r="231" spans="1:17" x14ac:dyDescent="0.3">
      <c r="A231" s="6" t="s">
        <v>606</v>
      </c>
      <c r="B231" s="7">
        <v>45786</v>
      </c>
      <c r="C231" s="6" t="s">
        <v>607</v>
      </c>
      <c r="D231" s="6" t="s">
        <v>608</v>
      </c>
      <c r="E231" s="6" t="s">
        <v>36</v>
      </c>
      <c r="F231" s="6" t="s">
        <v>36</v>
      </c>
      <c r="G231" s="6" t="s">
        <v>38</v>
      </c>
      <c r="H231" s="6" t="s">
        <v>39</v>
      </c>
      <c r="I231" s="6">
        <v>4</v>
      </c>
      <c r="J231" s="8">
        <v>29500</v>
      </c>
      <c r="K231" s="9">
        <v>0.05</v>
      </c>
      <c r="L231" s="10">
        <v>-112100</v>
      </c>
      <c r="M231" s="6">
        <v>-60000</v>
      </c>
      <c r="N231" s="6">
        <v>-52100</v>
      </c>
      <c r="O231" s="6" t="s">
        <v>40</v>
      </c>
      <c r="P231" s="6" t="s">
        <v>54</v>
      </c>
      <c r="Q231" s="6" t="s">
        <v>105</v>
      </c>
    </row>
    <row r="232" spans="1:17" x14ac:dyDescent="0.3">
      <c r="A232" s="6" t="s">
        <v>609</v>
      </c>
      <c r="B232" s="7">
        <v>45786</v>
      </c>
      <c r="C232" s="6" t="s">
        <v>610</v>
      </c>
      <c r="D232" s="6" t="s">
        <v>611</v>
      </c>
      <c r="E232" s="6" t="s">
        <v>20</v>
      </c>
      <c r="F232" s="6" t="s">
        <v>21</v>
      </c>
      <c r="G232" s="6" t="s">
        <v>22</v>
      </c>
      <c r="H232" s="6" t="s">
        <v>83</v>
      </c>
      <c r="I232" s="6">
        <v>5</v>
      </c>
      <c r="J232" s="8">
        <v>682500</v>
      </c>
      <c r="K232" s="9">
        <v>0.05</v>
      </c>
      <c r="L232" s="10">
        <v>3241875</v>
      </c>
      <c r="M232" s="6">
        <v>2350000</v>
      </c>
      <c r="N232" s="6">
        <v>891875</v>
      </c>
      <c r="O232" s="6" t="s">
        <v>68</v>
      </c>
      <c r="P232" s="6" t="s">
        <v>25</v>
      </c>
      <c r="Q232" s="6" t="s">
        <v>26</v>
      </c>
    </row>
    <row r="233" spans="1:17" x14ac:dyDescent="0.3">
      <c r="A233" s="6" t="s">
        <v>612</v>
      </c>
      <c r="B233" s="7">
        <v>45787</v>
      </c>
      <c r="C233" s="6" t="s">
        <v>76</v>
      </c>
      <c r="D233" s="6" t="s">
        <v>77</v>
      </c>
      <c r="E233" s="6" t="s">
        <v>20</v>
      </c>
      <c r="F233" s="6" t="s">
        <v>21</v>
      </c>
      <c r="G233" s="6" t="s">
        <v>78</v>
      </c>
      <c r="H233" s="6" t="s">
        <v>318</v>
      </c>
      <c r="I233" s="6">
        <v>1</v>
      </c>
      <c r="J233" s="8">
        <v>77200</v>
      </c>
      <c r="K233" s="9">
        <v>0</v>
      </c>
      <c r="L233" s="10">
        <v>77200</v>
      </c>
      <c r="M233" s="6">
        <v>43000</v>
      </c>
      <c r="N233" s="6">
        <v>34200</v>
      </c>
      <c r="O233" s="6" t="s">
        <v>40</v>
      </c>
      <c r="P233" s="6" t="s">
        <v>25</v>
      </c>
      <c r="Q233" s="6" t="s">
        <v>26</v>
      </c>
    </row>
    <row r="234" spans="1:17" x14ac:dyDescent="0.3">
      <c r="A234" s="6" t="s">
        <v>613</v>
      </c>
      <c r="B234" s="7">
        <v>45787</v>
      </c>
      <c r="C234" s="6" t="s">
        <v>117</v>
      </c>
      <c r="D234" s="6" t="s">
        <v>118</v>
      </c>
      <c r="E234" s="6" t="s">
        <v>20</v>
      </c>
      <c r="F234" s="6" t="s">
        <v>123</v>
      </c>
      <c r="G234" s="6" t="s">
        <v>44</v>
      </c>
      <c r="H234" s="6" t="s">
        <v>89</v>
      </c>
      <c r="I234" s="6">
        <v>3</v>
      </c>
      <c r="J234" s="8">
        <v>182900</v>
      </c>
      <c r="K234" s="9">
        <v>0.08</v>
      </c>
      <c r="L234" s="10">
        <v>0</v>
      </c>
      <c r="M234" s="6">
        <v>0</v>
      </c>
      <c r="N234" s="6">
        <v>0</v>
      </c>
      <c r="O234" s="6" t="s">
        <v>68</v>
      </c>
      <c r="P234" s="6" t="s">
        <v>163</v>
      </c>
      <c r="Q234" s="6" t="s">
        <v>69</v>
      </c>
    </row>
    <row r="235" spans="1:17" x14ac:dyDescent="0.3">
      <c r="A235" s="6" t="s">
        <v>614</v>
      </c>
      <c r="B235" s="7">
        <v>45787</v>
      </c>
      <c r="C235" s="6" t="s">
        <v>42</v>
      </c>
      <c r="D235" s="6" t="s">
        <v>43</v>
      </c>
      <c r="E235" s="6" t="s">
        <v>20</v>
      </c>
      <c r="F235" s="6" t="s">
        <v>21</v>
      </c>
      <c r="G235" s="6" t="s">
        <v>78</v>
      </c>
      <c r="H235" s="6" t="s">
        <v>115</v>
      </c>
      <c r="I235" s="6">
        <v>2</v>
      </c>
      <c r="J235" s="8">
        <v>94600</v>
      </c>
      <c r="K235" s="9">
        <v>0</v>
      </c>
      <c r="L235" s="10">
        <v>-189200</v>
      </c>
      <c r="M235" s="6">
        <v>-116000</v>
      </c>
      <c r="N235" s="6">
        <v>-73200</v>
      </c>
      <c r="O235" s="6" t="s">
        <v>24</v>
      </c>
      <c r="P235" s="6" t="s">
        <v>63</v>
      </c>
      <c r="Q235" s="6" t="s">
        <v>105</v>
      </c>
    </row>
    <row r="236" spans="1:17" x14ac:dyDescent="0.3">
      <c r="A236" s="6" t="s">
        <v>615</v>
      </c>
      <c r="B236" s="7">
        <v>45788</v>
      </c>
      <c r="C236" s="6" t="s">
        <v>616</v>
      </c>
      <c r="D236" s="6" t="s">
        <v>617</v>
      </c>
      <c r="E236" s="6" t="s">
        <v>20</v>
      </c>
      <c r="F236" s="6" t="s">
        <v>21</v>
      </c>
      <c r="G236" s="6" t="s">
        <v>44</v>
      </c>
      <c r="H236" s="6" t="s">
        <v>89</v>
      </c>
      <c r="I236" s="6">
        <v>6</v>
      </c>
      <c r="J236" s="8">
        <v>165600</v>
      </c>
      <c r="K236" s="9">
        <v>0.15</v>
      </c>
      <c r="L236" s="10">
        <v>844560</v>
      </c>
      <c r="M236" s="6">
        <v>690000</v>
      </c>
      <c r="N236" s="6">
        <v>154560</v>
      </c>
      <c r="O236" s="6" t="s">
        <v>68</v>
      </c>
      <c r="P236" s="6" t="s">
        <v>119</v>
      </c>
      <c r="Q236" s="6" t="s">
        <v>26</v>
      </c>
    </row>
    <row r="237" spans="1:17" x14ac:dyDescent="0.3">
      <c r="A237" s="6" t="s">
        <v>618</v>
      </c>
      <c r="B237" s="7">
        <v>45788</v>
      </c>
      <c r="C237" s="6" t="s">
        <v>619</v>
      </c>
      <c r="D237" s="6" t="s">
        <v>620</v>
      </c>
      <c r="E237" s="6" t="s">
        <v>20</v>
      </c>
      <c r="F237" s="6" t="s">
        <v>62</v>
      </c>
      <c r="G237" s="6" t="s">
        <v>78</v>
      </c>
      <c r="H237" s="6" t="s">
        <v>318</v>
      </c>
      <c r="I237" s="6">
        <v>1</v>
      </c>
      <c r="J237" s="8">
        <v>77600</v>
      </c>
      <c r="K237" s="9">
        <v>0.05</v>
      </c>
      <c r="L237" s="10">
        <v>73720</v>
      </c>
      <c r="M237" s="6">
        <v>43000</v>
      </c>
      <c r="N237" s="6">
        <v>30720</v>
      </c>
      <c r="O237" s="6" t="s">
        <v>24</v>
      </c>
      <c r="P237" s="6" t="s">
        <v>163</v>
      </c>
      <c r="Q237" s="6" t="s">
        <v>26</v>
      </c>
    </row>
    <row r="238" spans="1:17" x14ac:dyDescent="0.3">
      <c r="A238" s="6" t="s">
        <v>621</v>
      </c>
      <c r="B238" s="7">
        <v>45789</v>
      </c>
      <c r="C238" s="6" t="s">
        <v>622</v>
      </c>
      <c r="D238" s="6" t="s">
        <v>623</v>
      </c>
      <c r="E238" s="6" t="s">
        <v>87</v>
      </c>
      <c r="F238" s="6" t="s">
        <v>135</v>
      </c>
      <c r="G238" s="6" t="s">
        <v>78</v>
      </c>
      <c r="H238" s="6" t="s">
        <v>79</v>
      </c>
      <c r="I238" s="6">
        <v>5</v>
      </c>
      <c r="J238" s="8">
        <v>30800</v>
      </c>
      <c r="K238" s="9">
        <v>0.05</v>
      </c>
      <c r="L238" s="10">
        <v>146300</v>
      </c>
      <c r="M238" s="6">
        <v>90000</v>
      </c>
      <c r="N238" s="6">
        <v>56300</v>
      </c>
      <c r="O238" s="6" t="s">
        <v>104</v>
      </c>
      <c r="P238" s="6" t="s">
        <v>54</v>
      </c>
      <c r="Q238" s="6" t="s">
        <v>26</v>
      </c>
    </row>
    <row r="239" spans="1:17" x14ac:dyDescent="0.3">
      <c r="A239" s="6" t="s">
        <v>624</v>
      </c>
      <c r="B239" s="7">
        <v>45789</v>
      </c>
      <c r="C239" s="6" t="s">
        <v>529</v>
      </c>
      <c r="D239" s="6" t="s">
        <v>530</v>
      </c>
      <c r="E239" s="6" t="s">
        <v>20</v>
      </c>
      <c r="F239" s="6" t="s">
        <v>62</v>
      </c>
      <c r="G239" s="6" t="s">
        <v>22</v>
      </c>
      <c r="H239" s="6" t="s">
        <v>58</v>
      </c>
      <c r="I239" s="6">
        <v>6</v>
      </c>
      <c r="J239" s="8">
        <v>101000</v>
      </c>
      <c r="K239" s="9">
        <v>0.05</v>
      </c>
      <c r="L239" s="10">
        <v>575700</v>
      </c>
      <c r="M239" s="6">
        <v>330000</v>
      </c>
      <c r="N239" s="6">
        <v>245700</v>
      </c>
      <c r="O239" s="6" t="s">
        <v>40</v>
      </c>
      <c r="P239" s="6" t="s">
        <v>25</v>
      </c>
      <c r="Q239" s="6" t="s">
        <v>26</v>
      </c>
    </row>
    <row r="240" spans="1:17" x14ac:dyDescent="0.3">
      <c r="A240" s="6" t="s">
        <v>625</v>
      </c>
      <c r="B240" s="7">
        <v>45793</v>
      </c>
      <c r="C240" s="6" t="s">
        <v>293</v>
      </c>
      <c r="D240" s="6" t="s">
        <v>294</v>
      </c>
      <c r="E240" s="6" t="s">
        <v>20</v>
      </c>
      <c r="F240" s="6" t="s">
        <v>20</v>
      </c>
      <c r="G240" s="6" t="s">
        <v>22</v>
      </c>
      <c r="H240" s="6" t="s">
        <v>23</v>
      </c>
      <c r="I240" s="6">
        <v>7</v>
      </c>
      <c r="J240" s="8">
        <v>394600</v>
      </c>
      <c r="K240" s="9">
        <v>0.05</v>
      </c>
      <c r="L240" s="10">
        <v>2624090</v>
      </c>
      <c r="M240" s="6">
        <v>2100000</v>
      </c>
      <c r="N240" s="6">
        <v>524090</v>
      </c>
      <c r="O240" s="6" t="s">
        <v>31</v>
      </c>
      <c r="P240" s="6" t="s">
        <v>32</v>
      </c>
      <c r="Q240" s="6" t="s">
        <v>26</v>
      </c>
    </row>
    <row r="241" spans="1:17" x14ac:dyDescent="0.3">
      <c r="A241" s="6" t="s">
        <v>626</v>
      </c>
      <c r="B241" s="7">
        <v>45794</v>
      </c>
      <c r="C241" s="6" t="s">
        <v>627</v>
      </c>
      <c r="D241" s="6" t="s">
        <v>628</v>
      </c>
      <c r="E241" s="6" t="s">
        <v>36</v>
      </c>
      <c r="F241" s="6" t="s">
        <v>37</v>
      </c>
      <c r="G241" s="6" t="s">
        <v>22</v>
      </c>
      <c r="H241" s="6" t="s">
        <v>58</v>
      </c>
      <c r="I241" s="6">
        <v>1</v>
      </c>
      <c r="J241" s="8">
        <v>90500</v>
      </c>
      <c r="K241" s="9">
        <v>0</v>
      </c>
      <c r="L241" s="10">
        <v>90500</v>
      </c>
      <c r="M241" s="6">
        <v>55000</v>
      </c>
      <c r="N241" s="6">
        <v>35500</v>
      </c>
      <c r="O241" s="6" t="s">
        <v>104</v>
      </c>
      <c r="P241" s="6" t="s">
        <v>74</v>
      </c>
      <c r="Q241" s="6" t="s">
        <v>26</v>
      </c>
    </row>
    <row r="242" spans="1:17" x14ac:dyDescent="0.3">
      <c r="A242" s="6" t="s">
        <v>629</v>
      </c>
      <c r="B242" s="7">
        <v>45794</v>
      </c>
      <c r="C242" s="6" t="s">
        <v>630</v>
      </c>
      <c r="D242" s="6" t="s">
        <v>631</v>
      </c>
      <c r="E242" s="6" t="s">
        <v>36</v>
      </c>
      <c r="F242" s="6" t="s">
        <v>36</v>
      </c>
      <c r="G242" s="6" t="s">
        <v>22</v>
      </c>
      <c r="H242" s="6" t="s">
        <v>49</v>
      </c>
      <c r="I242" s="6">
        <v>5</v>
      </c>
      <c r="J242" s="8">
        <v>1273400</v>
      </c>
      <c r="K242" s="9">
        <v>0.08</v>
      </c>
      <c r="L242" s="10">
        <v>5857640</v>
      </c>
      <c r="M242" s="6">
        <v>4750000</v>
      </c>
      <c r="N242" s="6">
        <v>1107640</v>
      </c>
      <c r="O242" s="6" t="s">
        <v>40</v>
      </c>
      <c r="P242" s="6" t="s">
        <v>25</v>
      </c>
      <c r="Q242" s="6" t="s">
        <v>26</v>
      </c>
    </row>
    <row r="243" spans="1:17" x14ac:dyDescent="0.3">
      <c r="A243" s="6" t="s">
        <v>632</v>
      </c>
      <c r="B243" s="7">
        <v>45794</v>
      </c>
      <c r="C243" s="6" t="s">
        <v>633</v>
      </c>
      <c r="D243" s="6" t="s">
        <v>634</v>
      </c>
      <c r="E243" s="6" t="s">
        <v>36</v>
      </c>
      <c r="F243" s="6" t="s">
        <v>36</v>
      </c>
      <c r="G243" s="6" t="s">
        <v>22</v>
      </c>
      <c r="H243" s="6" t="s">
        <v>49</v>
      </c>
      <c r="I243" s="6">
        <v>2</v>
      </c>
      <c r="J243" s="8">
        <v>1158300</v>
      </c>
      <c r="K243" s="9">
        <v>0.15</v>
      </c>
      <c r="L243" s="10">
        <v>1969110</v>
      </c>
      <c r="M243" s="6">
        <v>1900000</v>
      </c>
      <c r="N243" s="6">
        <v>69110</v>
      </c>
      <c r="O243" s="6" t="s">
        <v>31</v>
      </c>
      <c r="P243" s="6" t="s">
        <v>119</v>
      </c>
      <c r="Q243" s="6" t="s">
        <v>26</v>
      </c>
    </row>
    <row r="244" spans="1:17" x14ac:dyDescent="0.3">
      <c r="A244" s="6" t="s">
        <v>635</v>
      </c>
      <c r="B244" s="7">
        <v>45795</v>
      </c>
      <c r="C244" s="6" t="s">
        <v>238</v>
      </c>
      <c r="D244" s="6" t="s">
        <v>239</v>
      </c>
      <c r="E244" s="6" t="s">
        <v>67</v>
      </c>
      <c r="F244" s="6" t="s">
        <v>236</v>
      </c>
      <c r="G244" s="6" t="s">
        <v>44</v>
      </c>
      <c r="H244" s="6" t="s">
        <v>73</v>
      </c>
      <c r="I244" s="6">
        <v>2</v>
      </c>
      <c r="J244" s="8">
        <v>305600</v>
      </c>
      <c r="K244" s="9">
        <v>0.02</v>
      </c>
      <c r="L244" s="10">
        <v>598976</v>
      </c>
      <c r="M244" s="6">
        <v>420000</v>
      </c>
      <c r="N244" s="6">
        <v>178976</v>
      </c>
      <c r="O244" s="6" t="s">
        <v>31</v>
      </c>
      <c r="P244" s="6" t="s">
        <v>119</v>
      </c>
      <c r="Q244" s="6" t="s">
        <v>26</v>
      </c>
    </row>
    <row r="245" spans="1:17" x14ac:dyDescent="0.3">
      <c r="A245" s="6" t="s">
        <v>636</v>
      </c>
      <c r="B245" s="7">
        <v>45795</v>
      </c>
      <c r="C245" s="6" t="s">
        <v>637</v>
      </c>
      <c r="D245" s="6" t="s">
        <v>638</v>
      </c>
      <c r="E245" s="6" t="s">
        <v>20</v>
      </c>
      <c r="F245" s="6" t="s">
        <v>21</v>
      </c>
      <c r="G245" s="6" t="s">
        <v>22</v>
      </c>
      <c r="H245" s="6" t="s">
        <v>49</v>
      </c>
      <c r="I245" s="6">
        <v>1</v>
      </c>
      <c r="J245" s="8">
        <v>1179900</v>
      </c>
      <c r="K245" s="9">
        <v>0.05</v>
      </c>
      <c r="L245" s="10">
        <v>1120905</v>
      </c>
      <c r="M245" s="6">
        <v>950000</v>
      </c>
      <c r="N245" s="6">
        <v>170905</v>
      </c>
      <c r="O245" s="6" t="s">
        <v>104</v>
      </c>
      <c r="P245" s="6" t="s">
        <v>25</v>
      </c>
      <c r="Q245" s="6" t="s">
        <v>26</v>
      </c>
    </row>
    <row r="246" spans="1:17" x14ac:dyDescent="0.3">
      <c r="A246" s="6" t="s">
        <v>639</v>
      </c>
      <c r="B246" s="7">
        <v>45795</v>
      </c>
      <c r="C246" s="6" t="s">
        <v>177</v>
      </c>
      <c r="D246" s="6" t="s">
        <v>178</v>
      </c>
      <c r="E246" s="6" t="s">
        <v>20</v>
      </c>
      <c r="F246" s="6" t="s">
        <v>20</v>
      </c>
      <c r="G246" s="6" t="s">
        <v>22</v>
      </c>
      <c r="H246" s="6" t="s">
        <v>23</v>
      </c>
      <c r="I246" s="6">
        <v>5</v>
      </c>
      <c r="J246" s="8">
        <v>438800</v>
      </c>
      <c r="K246" s="9">
        <v>0</v>
      </c>
      <c r="L246" s="10">
        <v>2194000</v>
      </c>
      <c r="M246" s="6">
        <v>1500000</v>
      </c>
      <c r="N246" s="6">
        <v>694000</v>
      </c>
      <c r="O246" s="6" t="s">
        <v>31</v>
      </c>
      <c r="P246" s="6" t="s">
        <v>163</v>
      </c>
      <c r="Q246" s="6" t="s">
        <v>26</v>
      </c>
    </row>
    <row r="247" spans="1:17" x14ac:dyDescent="0.3">
      <c r="A247" s="6" t="s">
        <v>640</v>
      </c>
      <c r="B247" s="7">
        <v>45796</v>
      </c>
      <c r="C247" s="6" t="s">
        <v>529</v>
      </c>
      <c r="D247" s="6" t="s">
        <v>530</v>
      </c>
      <c r="E247" s="6" t="s">
        <v>87</v>
      </c>
      <c r="F247" s="6" t="s">
        <v>131</v>
      </c>
      <c r="G247" s="6" t="s">
        <v>22</v>
      </c>
      <c r="H247" s="6" t="s">
        <v>23</v>
      </c>
      <c r="I247" s="6">
        <v>4</v>
      </c>
      <c r="J247" s="8">
        <v>411900</v>
      </c>
      <c r="K247" s="9">
        <v>0.1</v>
      </c>
      <c r="L247" s="10">
        <v>1482840</v>
      </c>
      <c r="M247" s="6">
        <v>1200000</v>
      </c>
      <c r="N247" s="6">
        <v>282840</v>
      </c>
      <c r="O247" s="6" t="s">
        <v>24</v>
      </c>
      <c r="P247" s="6" t="s">
        <v>32</v>
      </c>
      <c r="Q247" s="6" t="s">
        <v>26</v>
      </c>
    </row>
    <row r="248" spans="1:17" x14ac:dyDescent="0.3">
      <c r="A248" s="6" t="s">
        <v>641</v>
      </c>
      <c r="B248" s="7">
        <v>45799</v>
      </c>
      <c r="C248" s="6" t="s">
        <v>642</v>
      </c>
      <c r="D248" s="6" t="s">
        <v>643</v>
      </c>
      <c r="E248" s="6" t="s">
        <v>30</v>
      </c>
      <c r="F248" s="6" t="s">
        <v>159</v>
      </c>
      <c r="G248" s="6" t="s">
        <v>38</v>
      </c>
      <c r="H248" s="6" t="s">
        <v>53</v>
      </c>
      <c r="I248" s="6">
        <v>6</v>
      </c>
      <c r="J248" s="8">
        <v>358500</v>
      </c>
      <c r="K248" s="9">
        <v>0.08</v>
      </c>
      <c r="L248" s="10">
        <v>0</v>
      </c>
      <c r="M248" s="6">
        <v>0</v>
      </c>
      <c r="N248" s="6">
        <v>0</v>
      </c>
      <c r="O248" s="6" t="s">
        <v>68</v>
      </c>
      <c r="P248" s="6" t="s">
        <v>32</v>
      </c>
      <c r="Q248" s="6" t="s">
        <v>69</v>
      </c>
    </row>
    <row r="249" spans="1:17" x14ac:dyDescent="0.3">
      <c r="A249" s="6" t="s">
        <v>644</v>
      </c>
      <c r="B249" s="7">
        <v>45800</v>
      </c>
      <c r="C249" s="6" t="s">
        <v>645</v>
      </c>
      <c r="D249" s="6" t="s">
        <v>646</v>
      </c>
      <c r="E249" s="6" t="s">
        <v>20</v>
      </c>
      <c r="F249" s="6" t="s">
        <v>123</v>
      </c>
      <c r="G249" s="6" t="s">
        <v>44</v>
      </c>
      <c r="H249" s="6" t="s">
        <v>73</v>
      </c>
      <c r="I249" s="6">
        <v>6</v>
      </c>
      <c r="J249" s="8">
        <v>322900</v>
      </c>
      <c r="K249" s="9">
        <v>0.1</v>
      </c>
      <c r="L249" s="10">
        <v>1743660</v>
      </c>
      <c r="M249" s="6">
        <v>1260000</v>
      </c>
      <c r="N249" s="6">
        <v>483660</v>
      </c>
      <c r="O249" s="6" t="s">
        <v>40</v>
      </c>
      <c r="P249" s="6" t="s">
        <v>54</v>
      </c>
      <c r="Q249" s="6" t="s">
        <v>26</v>
      </c>
    </row>
    <row r="250" spans="1:17" x14ac:dyDescent="0.3">
      <c r="A250" s="6" t="s">
        <v>647</v>
      </c>
      <c r="B250" s="7">
        <v>45800</v>
      </c>
      <c r="C250" s="6" t="s">
        <v>250</v>
      </c>
      <c r="D250" s="6" t="s">
        <v>251</v>
      </c>
      <c r="E250" s="6" t="s">
        <v>20</v>
      </c>
      <c r="F250" s="6" t="s">
        <v>123</v>
      </c>
      <c r="G250" s="6" t="s">
        <v>38</v>
      </c>
      <c r="H250" s="6" t="s">
        <v>214</v>
      </c>
      <c r="I250" s="6">
        <v>4</v>
      </c>
      <c r="J250" s="8">
        <v>43300</v>
      </c>
      <c r="K250" s="9">
        <v>0.08</v>
      </c>
      <c r="L250" s="10">
        <v>159344</v>
      </c>
      <c r="M250" s="6">
        <v>104000</v>
      </c>
      <c r="N250" s="6">
        <v>55344</v>
      </c>
      <c r="O250" s="6" t="s">
        <v>104</v>
      </c>
      <c r="P250" s="6" t="s">
        <v>63</v>
      </c>
      <c r="Q250" s="6" t="s">
        <v>26</v>
      </c>
    </row>
    <row r="251" spans="1:17" x14ac:dyDescent="0.3">
      <c r="A251" s="6" t="s">
        <v>648</v>
      </c>
      <c r="B251" s="7">
        <v>45800</v>
      </c>
      <c r="C251" s="6" t="s">
        <v>610</v>
      </c>
      <c r="D251" s="6" t="s">
        <v>611</v>
      </c>
      <c r="E251" s="6" t="s">
        <v>20</v>
      </c>
      <c r="F251" s="6" t="s">
        <v>21</v>
      </c>
      <c r="G251" s="6" t="s">
        <v>38</v>
      </c>
      <c r="H251" s="6" t="s">
        <v>39</v>
      </c>
      <c r="I251" s="6">
        <v>6</v>
      </c>
      <c r="J251" s="8">
        <v>27200</v>
      </c>
      <c r="K251" s="9">
        <v>0</v>
      </c>
      <c r="L251" s="10">
        <v>0</v>
      </c>
      <c r="M251" s="6">
        <v>0</v>
      </c>
      <c r="N251" s="6">
        <v>0</v>
      </c>
      <c r="O251" s="6" t="s">
        <v>68</v>
      </c>
      <c r="P251" s="6" t="s">
        <v>63</v>
      </c>
      <c r="Q251" s="6" t="s">
        <v>69</v>
      </c>
    </row>
    <row r="252" spans="1:17" x14ac:dyDescent="0.3">
      <c r="A252" s="6" t="s">
        <v>649</v>
      </c>
      <c r="B252" s="7">
        <v>45801</v>
      </c>
      <c r="C252" s="6" t="s">
        <v>133</v>
      </c>
      <c r="D252" s="6" t="s">
        <v>134</v>
      </c>
      <c r="E252" s="6" t="s">
        <v>67</v>
      </c>
      <c r="F252" s="6" t="s">
        <v>100</v>
      </c>
      <c r="G252" s="6" t="s">
        <v>38</v>
      </c>
      <c r="H252" s="6" t="s">
        <v>127</v>
      </c>
      <c r="I252" s="6">
        <v>3</v>
      </c>
      <c r="J252" s="8">
        <v>244800</v>
      </c>
      <c r="K252" s="9">
        <v>0.05</v>
      </c>
      <c r="L252" s="10">
        <v>697680</v>
      </c>
      <c r="M252" s="6">
        <v>495000</v>
      </c>
      <c r="N252" s="6">
        <v>202680</v>
      </c>
      <c r="O252" s="6" t="s">
        <v>31</v>
      </c>
      <c r="P252" s="6" t="s">
        <v>119</v>
      </c>
      <c r="Q252" s="6" t="s">
        <v>26</v>
      </c>
    </row>
    <row r="253" spans="1:17" x14ac:dyDescent="0.3">
      <c r="A253" s="6" t="s">
        <v>650</v>
      </c>
      <c r="B253" s="7">
        <v>45801</v>
      </c>
      <c r="C253" s="6" t="s">
        <v>129</v>
      </c>
      <c r="D253" s="6" t="s">
        <v>130</v>
      </c>
      <c r="E253" s="6" t="s">
        <v>67</v>
      </c>
      <c r="F253" s="6" t="s">
        <v>67</v>
      </c>
      <c r="G253" s="6" t="s">
        <v>38</v>
      </c>
      <c r="H253" s="6" t="s">
        <v>53</v>
      </c>
      <c r="I253" s="6">
        <v>2</v>
      </c>
      <c r="J253" s="8">
        <v>410200</v>
      </c>
      <c r="K253" s="9">
        <v>0.15</v>
      </c>
      <c r="L253" s="10">
        <v>697340</v>
      </c>
      <c r="M253" s="6">
        <v>560000</v>
      </c>
      <c r="N253" s="6">
        <v>137340</v>
      </c>
      <c r="O253" s="6" t="s">
        <v>104</v>
      </c>
      <c r="P253" s="6" t="s">
        <v>90</v>
      </c>
      <c r="Q253" s="6" t="s">
        <v>26</v>
      </c>
    </row>
    <row r="254" spans="1:17" x14ac:dyDescent="0.3">
      <c r="A254" s="6" t="s">
        <v>651</v>
      </c>
      <c r="B254" s="7">
        <v>45802</v>
      </c>
      <c r="C254" s="6" t="s">
        <v>464</v>
      </c>
      <c r="D254" s="6" t="s">
        <v>465</v>
      </c>
      <c r="E254" s="6" t="s">
        <v>36</v>
      </c>
      <c r="F254" s="6" t="s">
        <v>155</v>
      </c>
      <c r="G254" s="6" t="s">
        <v>22</v>
      </c>
      <c r="H254" s="6" t="s">
        <v>49</v>
      </c>
      <c r="I254" s="6">
        <v>7</v>
      </c>
      <c r="J254" s="8">
        <v>1161400</v>
      </c>
      <c r="K254" s="9">
        <v>0.05</v>
      </c>
      <c r="L254" s="10">
        <v>7723310</v>
      </c>
      <c r="M254" s="6">
        <v>6650000</v>
      </c>
      <c r="N254" s="6">
        <v>1073310</v>
      </c>
      <c r="O254" s="6" t="s">
        <v>31</v>
      </c>
      <c r="P254" s="6" t="s">
        <v>32</v>
      </c>
      <c r="Q254" s="6" t="s">
        <v>26</v>
      </c>
    </row>
    <row r="255" spans="1:17" x14ac:dyDescent="0.3">
      <c r="A255" s="6" t="s">
        <v>652</v>
      </c>
      <c r="B255" s="7">
        <v>45802</v>
      </c>
      <c r="C255" s="6" t="s">
        <v>369</v>
      </c>
      <c r="D255" s="6" t="s">
        <v>370</v>
      </c>
      <c r="E255" s="6" t="s">
        <v>20</v>
      </c>
      <c r="F255" s="6" t="s">
        <v>20</v>
      </c>
      <c r="G255" s="6" t="s">
        <v>38</v>
      </c>
      <c r="H255" s="6" t="s">
        <v>39</v>
      </c>
      <c r="I255" s="6">
        <v>5</v>
      </c>
      <c r="J255" s="8">
        <v>25800</v>
      </c>
      <c r="K255" s="9">
        <v>0.05</v>
      </c>
      <c r="L255" s="10">
        <v>122550</v>
      </c>
      <c r="M255" s="6">
        <v>75000</v>
      </c>
      <c r="N255" s="6">
        <v>47550</v>
      </c>
      <c r="O255" s="6" t="s">
        <v>24</v>
      </c>
      <c r="P255" s="6" t="s">
        <v>74</v>
      </c>
      <c r="Q255" s="6" t="s">
        <v>26</v>
      </c>
    </row>
    <row r="256" spans="1:17" x14ac:dyDescent="0.3">
      <c r="A256" s="6" t="s">
        <v>653</v>
      </c>
      <c r="B256" s="7">
        <v>45804</v>
      </c>
      <c r="C256" s="6" t="s">
        <v>654</v>
      </c>
      <c r="D256" s="6" t="s">
        <v>655</v>
      </c>
      <c r="E256" s="6" t="s">
        <v>87</v>
      </c>
      <c r="F256" s="6" t="s">
        <v>131</v>
      </c>
      <c r="G256" s="6" t="s">
        <v>44</v>
      </c>
      <c r="H256" s="6" t="s">
        <v>45</v>
      </c>
      <c r="I256" s="6">
        <v>2</v>
      </c>
      <c r="J256" s="8">
        <v>497900</v>
      </c>
      <c r="K256" s="9">
        <v>0.02</v>
      </c>
      <c r="L256" s="10">
        <v>975884</v>
      </c>
      <c r="M256" s="6">
        <v>730000</v>
      </c>
      <c r="N256" s="6">
        <v>245884</v>
      </c>
      <c r="O256" s="6" t="s">
        <v>104</v>
      </c>
      <c r="P256" s="6" t="s">
        <v>25</v>
      </c>
      <c r="Q256" s="6" t="s">
        <v>26</v>
      </c>
    </row>
    <row r="257" spans="1:17" x14ac:dyDescent="0.3">
      <c r="A257" s="6" t="s">
        <v>656</v>
      </c>
      <c r="B257" s="7">
        <v>45804</v>
      </c>
      <c r="C257" s="6" t="s">
        <v>193</v>
      </c>
      <c r="D257" s="6" t="s">
        <v>194</v>
      </c>
      <c r="E257" s="6" t="s">
        <v>20</v>
      </c>
      <c r="F257" s="6" t="s">
        <v>123</v>
      </c>
      <c r="G257" s="6" t="s">
        <v>38</v>
      </c>
      <c r="H257" s="6" t="s">
        <v>53</v>
      </c>
      <c r="I257" s="6">
        <v>7</v>
      </c>
      <c r="J257" s="8">
        <v>387700</v>
      </c>
      <c r="K257" s="9">
        <v>0.1</v>
      </c>
      <c r="L257" s="10">
        <v>2442510</v>
      </c>
      <c r="M257" s="6">
        <v>1960000</v>
      </c>
      <c r="N257" s="6">
        <v>482510</v>
      </c>
      <c r="O257" s="6" t="s">
        <v>31</v>
      </c>
      <c r="P257" s="6" t="s">
        <v>163</v>
      </c>
      <c r="Q257" s="6" t="s">
        <v>26</v>
      </c>
    </row>
    <row r="258" spans="1:17" x14ac:dyDescent="0.3">
      <c r="A258" s="6" t="s">
        <v>657</v>
      </c>
      <c r="B258" s="7">
        <v>45804</v>
      </c>
      <c r="C258" s="6" t="s">
        <v>658</v>
      </c>
      <c r="D258" s="6" t="s">
        <v>659</v>
      </c>
      <c r="E258" s="6" t="s">
        <v>30</v>
      </c>
      <c r="F258" s="6" t="s">
        <v>30</v>
      </c>
      <c r="G258" s="6" t="s">
        <v>78</v>
      </c>
      <c r="H258" s="6" t="s">
        <v>188</v>
      </c>
      <c r="I258" s="6">
        <v>3</v>
      </c>
      <c r="J258" s="8">
        <v>84100</v>
      </c>
      <c r="K258" s="9">
        <v>0.05</v>
      </c>
      <c r="L258" s="10">
        <v>239685</v>
      </c>
      <c r="M258" s="6">
        <v>156000</v>
      </c>
      <c r="N258" s="6">
        <v>83685</v>
      </c>
      <c r="O258" s="6" t="s">
        <v>31</v>
      </c>
      <c r="P258" s="6" t="s">
        <v>163</v>
      </c>
      <c r="Q258" s="6" t="s">
        <v>26</v>
      </c>
    </row>
    <row r="259" spans="1:17" x14ac:dyDescent="0.3">
      <c r="A259" s="6" t="s">
        <v>660</v>
      </c>
      <c r="B259" s="7">
        <v>45805</v>
      </c>
      <c r="C259" s="6" t="s">
        <v>661</v>
      </c>
      <c r="D259" s="6" t="s">
        <v>662</v>
      </c>
      <c r="E259" s="6" t="s">
        <v>30</v>
      </c>
      <c r="F259" s="6" t="s">
        <v>30</v>
      </c>
      <c r="G259" s="6" t="s">
        <v>38</v>
      </c>
      <c r="H259" s="6" t="s">
        <v>127</v>
      </c>
      <c r="I259" s="6">
        <v>6</v>
      </c>
      <c r="J259" s="8">
        <v>231000</v>
      </c>
      <c r="K259" s="9">
        <v>0.05</v>
      </c>
      <c r="L259" s="10">
        <v>1316700</v>
      </c>
      <c r="M259" s="6">
        <v>990000</v>
      </c>
      <c r="N259" s="6">
        <v>326700</v>
      </c>
      <c r="O259" s="6" t="s">
        <v>24</v>
      </c>
      <c r="P259" s="6" t="s">
        <v>54</v>
      </c>
      <c r="Q259" s="6" t="s">
        <v>26</v>
      </c>
    </row>
    <row r="260" spans="1:17" x14ac:dyDescent="0.3">
      <c r="A260" s="6" t="s">
        <v>663</v>
      </c>
      <c r="B260" s="7">
        <v>45805</v>
      </c>
      <c r="C260" s="6" t="s">
        <v>449</v>
      </c>
      <c r="D260" s="6" t="s">
        <v>450</v>
      </c>
      <c r="E260" s="6" t="s">
        <v>20</v>
      </c>
      <c r="F260" s="6" t="s">
        <v>20</v>
      </c>
      <c r="G260" s="6" t="s">
        <v>22</v>
      </c>
      <c r="H260" s="6" t="s">
        <v>83</v>
      </c>
      <c r="I260" s="6">
        <v>2</v>
      </c>
      <c r="J260" s="8">
        <v>660000</v>
      </c>
      <c r="K260" s="9">
        <v>0.05</v>
      </c>
      <c r="L260" s="10">
        <v>1254000</v>
      </c>
      <c r="M260" s="6">
        <v>940000</v>
      </c>
      <c r="N260" s="6">
        <v>314000</v>
      </c>
      <c r="O260" s="6" t="s">
        <v>24</v>
      </c>
      <c r="P260" s="6" t="s">
        <v>163</v>
      </c>
      <c r="Q260" s="6" t="s">
        <v>26</v>
      </c>
    </row>
    <row r="261" spans="1:17" x14ac:dyDescent="0.3">
      <c r="A261" s="6" t="s">
        <v>664</v>
      </c>
      <c r="B261" s="7">
        <v>45806</v>
      </c>
      <c r="C261" s="6" t="s">
        <v>471</v>
      </c>
      <c r="D261" s="6" t="s">
        <v>472</v>
      </c>
      <c r="E261" s="6" t="s">
        <v>20</v>
      </c>
      <c r="F261" s="6" t="s">
        <v>62</v>
      </c>
      <c r="G261" s="6" t="s">
        <v>22</v>
      </c>
      <c r="H261" s="6" t="s">
        <v>23</v>
      </c>
      <c r="I261" s="6">
        <v>5</v>
      </c>
      <c r="J261" s="8">
        <v>446100</v>
      </c>
      <c r="K261" s="9">
        <v>0</v>
      </c>
      <c r="L261" s="10">
        <v>2230500</v>
      </c>
      <c r="M261" s="6">
        <v>1500000</v>
      </c>
      <c r="N261" s="6">
        <v>730500</v>
      </c>
      <c r="O261" s="6" t="s">
        <v>40</v>
      </c>
      <c r="P261" s="6" t="s">
        <v>163</v>
      </c>
      <c r="Q261" s="6" t="s">
        <v>26</v>
      </c>
    </row>
    <row r="262" spans="1:17" x14ac:dyDescent="0.3">
      <c r="A262" s="6" t="s">
        <v>665</v>
      </c>
      <c r="B262" s="7">
        <v>45806</v>
      </c>
      <c r="C262" s="6" t="s">
        <v>467</v>
      </c>
      <c r="D262" s="6" t="s">
        <v>468</v>
      </c>
      <c r="E262" s="6" t="s">
        <v>87</v>
      </c>
      <c r="F262" s="6" t="s">
        <v>135</v>
      </c>
      <c r="G262" s="6" t="s">
        <v>22</v>
      </c>
      <c r="H262" s="6" t="s">
        <v>23</v>
      </c>
      <c r="I262" s="6">
        <v>4</v>
      </c>
      <c r="J262" s="8">
        <v>426500</v>
      </c>
      <c r="K262" s="9">
        <v>0.08</v>
      </c>
      <c r="L262" s="10">
        <v>1569520</v>
      </c>
      <c r="M262" s="6">
        <v>1200000</v>
      </c>
      <c r="N262" s="6">
        <v>369520</v>
      </c>
      <c r="O262" s="6" t="s">
        <v>24</v>
      </c>
      <c r="P262" s="6" t="s">
        <v>63</v>
      </c>
      <c r="Q262" s="6" t="s">
        <v>26</v>
      </c>
    </row>
    <row r="263" spans="1:17" x14ac:dyDescent="0.3">
      <c r="A263" s="6" t="s">
        <v>666</v>
      </c>
      <c r="B263" s="7">
        <v>45807</v>
      </c>
      <c r="C263" s="6" t="s">
        <v>508</v>
      </c>
      <c r="D263" s="6" t="s">
        <v>509</v>
      </c>
      <c r="E263" s="6" t="s">
        <v>20</v>
      </c>
      <c r="F263" s="6" t="s">
        <v>20</v>
      </c>
      <c r="G263" s="6" t="s">
        <v>44</v>
      </c>
      <c r="H263" s="6" t="s">
        <v>45</v>
      </c>
      <c r="I263" s="6">
        <v>1</v>
      </c>
      <c r="J263" s="8">
        <v>511200</v>
      </c>
      <c r="K263" s="9">
        <v>0.02</v>
      </c>
      <c r="L263" s="10">
        <v>500976</v>
      </c>
      <c r="M263" s="6">
        <v>365000</v>
      </c>
      <c r="N263" s="6">
        <v>135976</v>
      </c>
      <c r="O263" s="6" t="s">
        <v>24</v>
      </c>
      <c r="P263" s="6" t="s">
        <v>54</v>
      </c>
      <c r="Q263" s="6" t="s">
        <v>26</v>
      </c>
    </row>
    <row r="264" spans="1:17" x14ac:dyDescent="0.3">
      <c r="A264" s="6" t="s">
        <v>667</v>
      </c>
      <c r="B264" s="7">
        <v>45807</v>
      </c>
      <c r="C264" s="6" t="s">
        <v>464</v>
      </c>
      <c r="D264" s="6" t="s">
        <v>465</v>
      </c>
      <c r="E264" s="6" t="s">
        <v>36</v>
      </c>
      <c r="F264" s="6" t="s">
        <v>37</v>
      </c>
      <c r="G264" s="6" t="s">
        <v>38</v>
      </c>
      <c r="H264" s="6" t="s">
        <v>39</v>
      </c>
      <c r="I264" s="6">
        <v>6</v>
      </c>
      <c r="J264" s="8">
        <v>28200</v>
      </c>
      <c r="K264" s="9">
        <v>0</v>
      </c>
      <c r="L264" s="10">
        <v>169200</v>
      </c>
      <c r="M264" s="6">
        <v>90000</v>
      </c>
      <c r="N264" s="6">
        <v>79200</v>
      </c>
      <c r="O264" s="6" t="s">
        <v>68</v>
      </c>
      <c r="P264" s="6" t="s">
        <v>119</v>
      </c>
      <c r="Q264" s="6" t="s">
        <v>26</v>
      </c>
    </row>
    <row r="265" spans="1:17" x14ac:dyDescent="0.3">
      <c r="A265" s="6" t="s">
        <v>668</v>
      </c>
      <c r="B265" s="7">
        <v>45809</v>
      </c>
      <c r="C265" s="6" t="s">
        <v>315</v>
      </c>
      <c r="D265" s="6" t="s">
        <v>316</v>
      </c>
      <c r="E265" s="6" t="s">
        <v>20</v>
      </c>
      <c r="F265" s="6" t="s">
        <v>20</v>
      </c>
      <c r="G265" s="6" t="s">
        <v>22</v>
      </c>
      <c r="H265" s="6" t="s">
        <v>58</v>
      </c>
      <c r="I265" s="6">
        <v>4</v>
      </c>
      <c r="J265" s="8">
        <v>101300</v>
      </c>
      <c r="K265" s="9">
        <v>0.02</v>
      </c>
      <c r="L265" s="10">
        <v>397096</v>
      </c>
      <c r="M265" s="6">
        <v>220000</v>
      </c>
      <c r="N265" s="6">
        <v>177096</v>
      </c>
      <c r="O265" s="6" t="s">
        <v>40</v>
      </c>
      <c r="P265" s="6" t="s">
        <v>74</v>
      </c>
      <c r="Q265" s="6" t="s">
        <v>26</v>
      </c>
    </row>
    <row r="266" spans="1:17" x14ac:dyDescent="0.3">
      <c r="A266" s="6" t="s">
        <v>669</v>
      </c>
      <c r="B266" s="7">
        <v>45809</v>
      </c>
      <c r="C266" s="6" t="s">
        <v>550</v>
      </c>
      <c r="D266" s="6" t="s">
        <v>551</v>
      </c>
      <c r="E266" s="6" t="s">
        <v>20</v>
      </c>
      <c r="F266" s="6" t="s">
        <v>21</v>
      </c>
      <c r="G266" s="6" t="s">
        <v>44</v>
      </c>
      <c r="H266" s="6" t="s">
        <v>45</v>
      </c>
      <c r="I266" s="6">
        <v>3</v>
      </c>
      <c r="J266" s="8">
        <v>530900</v>
      </c>
      <c r="K266" s="9">
        <v>0</v>
      </c>
      <c r="L266" s="10">
        <v>1592700</v>
      </c>
      <c r="M266" s="6">
        <v>1095000</v>
      </c>
      <c r="N266" s="6">
        <v>497700</v>
      </c>
      <c r="O266" s="6" t="s">
        <v>31</v>
      </c>
      <c r="P266" s="6" t="s">
        <v>54</v>
      </c>
      <c r="Q266" s="6" t="s">
        <v>26</v>
      </c>
    </row>
    <row r="267" spans="1:17" x14ac:dyDescent="0.3">
      <c r="A267" s="6" t="s">
        <v>670</v>
      </c>
      <c r="B267" s="7">
        <v>45810</v>
      </c>
      <c r="C267" s="6" t="s">
        <v>554</v>
      </c>
      <c r="D267" s="6" t="s">
        <v>555</v>
      </c>
      <c r="E267" s="6" t="s">
        <v>36</v>
      </c>
      <c r="F267" s="6" t="s">
        <v>155</v>
      </c>
      <c r="G267" s="6" t="s">
        <v>22</v>
      </c>
      <c r="H267" s="6" t="s">
        <v>83</v>
      </c>
      <c r="I267" s="6">
        <v>5</v>
      </c>
      <c r="J267" s="8">
        <v>625400</v>
      </c>
      <c r="K267" s="9">
        <v>0.02</v>
      </c>
      <c r="L267" s="10">
        <v>3064460</v>
      </c>
      <c r="M267" s="6">
        <v>2350000</v>
      </c>
      <c r="N267" s="6">
        <v>714460</v>
      </c>
      <c r="O267" s="6" t="s">
        <v>68</v>
      </c>
      <c r="P267" s="6" t="s">
        <v>119</v>
      </c>
      <c r="Q267" s="6" t="s">
        <v>26</v>
      </c>
    </row>
    <row r="268" spans="1:17" x14ac:dyDescent="0.3">
      <c r="A268" s="6" t="s">
        <v>671</v>
      </c>
      <c r="B268" s="7">
        <v>45810</v>
      </c>
      <c r="C268" s="6" t="s">
        <v>65</v>
      </c>
      <c r="D268" s="6" t="s">
        <v>66</v>
      </c>
      <c r="E268" s="6" t="s">
        <v>36</v>
      </c>
      <c r="F268" s="6" t="s">
        <v>37</v>
      </c>
      <c r="G268" s="6" t="s">
        <v>22</v>
      </c>
      <c r="H268" s="6" t="s">
        <v>58</v>
      </c>
      <c r="I268" s="6">
        <v>4</v>
      </c>
      <c r="J268" s="8">
        <v>89200</v>
      </c>
      <c r="K268" s="9">
        <v>0.1</v>
      </c>
      <c r="L268" s="10">
        <v>321120</v>
      </c>
      <c r="M268" s="6">
        <v>220000</v>
      </c>
      <c r="N268" s="6">
        <v>101120</v>
      </c>
      <c r="O268" s="6" t="s">
        <v>104</v>
      </c>
      <c r="P268" s="6" t="s">
        <v>119</v>
      </c>
      <c r="Q268" s="6" t="s">
        <v>26</v>
      </c>
    </row>
    <row r="269" spans="1:17" x14ac:dyDescent="0.3">
      <c r="A269" s="6" t="s">
        <v>672</v>
      </c>
      <c r="B269" s="7">
        <v>45811</v>
      </c>
      <c r="C269" s="6" t="s">
        <v>125</v>
      </c>
      <c r="D269" s="6" t="s">
        <v>126</v>
      </c>
      <c r="E269" s="6" t="s">
        <v>20</v>
      </c>
      <c r="F269" s="6" t="s">
        <v>20</v>
      </c>
      <c r="G269" s="6" t="s">
        <v>44</v>
      </c>
      <c r="H269" s="6" t="s">
        <v>89</v>
      </c>
      <c r="I269" s="6">
        <v>2</v>
      </c>
      <c r="J269" s="8">
        <v>184800</v>
      </c>
      <c r="K269" s="9">
        <v>0.05</v>
      </c>
      <c r="L269" s="10">
        <v>0</v>
      </c>
      <c r="M269" s="6">
        <v>0</v>
      </c>
      <c r="N269" s="6">
        <v>0</v>
      </c>
      <c r="O269" s="6" t="s">
        <v>68</v>
      </c>
      <c r="P269" s="6" t="s">
        <v>63</v>
      </c>
      <c r="Q269" s="6" t="s">
        <v>69</v>
      </c>
    </row>
    <row r="270" spans="1:17" x14ac:dyDescent="0.3">
      <c r="A270" s="6" t="s">
        <v>673</v>
      </c>
      <c r="B270" s="7">
        <v>45812</v>
      </c>
      <c r="C270" s="6" t="s">
        <v>645</v>
      </c>
      <c r="D270" s="6" t="s">
        <v>646</v>
      </c>
      <c r="E270" s="6" t="s">
        <v>20</v>
      </c>
      <c r="F270" s="6" t="s">
        <v>21</v>
      </c>
      <c r="G270" s="6" t="s">
        <v>44</v>
      </c>
      <c r="H270" s="6" t="s">
        <v>73</v>
      </c>
      <c r="I270" s="6">
        <v>1</v>
      </c>
      <c r="J270" s="8">
        <v>320000</v>
      </c>
      <c r="K270" s="9">
        <v>0.02</v>
      </c>
      <c r="L270" s="10">
        <v>313600</v>
      </c>
      <c r="M270" s="6">
        <v>210000</v>
      </c>
      <c r="N270" s="6">
        <v>103600</v>
      </c>
      <c r="O270" s="6" t="s">
        <v>68</v>
      </c>
      <c r="P270" s="6" t="s">
        <v>25</v>
      </c>
      <c r="Q270" s="6" t="s">
        <v>26</v>
      </c>
    </row>
    <row r="271" spans="1:17" x14ac:dyDescent="0.3">
      <c r="A271" s="6" t="s">
        <v>674</v>
      </c>
      <c r="B271" s="7">
        <v>45812</v>
      </c>
      <c r="C271" s="6" t="s">
        <v>675</v>
      </c>
      <c r="D271" s="6" t="s">
        <v>676</v>
      </c>
      <c r="E271" s="6" t="s">
        <v>20</v>
      </c>
      <c r="F271" s="6" t="s">
        <v>123</v>
      </c>
      <c r="G271" s="6" t="s">
        <v>78</v>
      </c>
      <c r="H271" s="6" t="s">
        <v>79</v>
      </c>
      <c r="I271" s="6">
        <v>2</v>
      </c>
      <c r="J271" s="8">
        <v>34100</v>
      </c>
      <c r="K271" s="9">
        <v>0</v>
      </c>
      <c r="L271" s="10">
        <v>0</v>
      </c>
      <c r="M271" s="6">
        <v>0</v>
      </c>
      <c r="N271" s="6">
        <v>0</v>
      </c>
      <c r="O271" s="6" t="s">
        <v>68</v>
      </c>
      <c r="P271" s="6" t="s">
        <v>90</v>
      </c>
      <c r="Q271" s="6" t="s">
        <v>69</v>
      </c>
    </row>
    <row r="272" spans="1:17" x14ac:dyDescent="0.3">
      <c r="A272" s="6" t="s">
        <v>677</v>
      </c>
      <c r="B272" s="7">
        <v>45812</v>
      </c>
      <c r="C272" s="6" t="s">
        <v>293</v>
      </c>
      <c r="D272" s="6" t="s">
        <v>294</v>
      </c>
      <c r="E272" s="6" t="s">
        <v>20</v>
      </c>
      <c r="F272" s="6" t="s">
        <v>123</v>
      </c>
      <c r="G272" s="6" t="s">
        <v>38</v>
      </c>
      <c r="H272" s="6" t="s">
        <v>214</v>
      </c>
      <c r="I272" s="6">
        <v>3</v>
      </c>
      <c r="J272" s="8">
        <v>41600</v>
      </c>
      <c r="K272" s="9">
        <v>0.08</v>
      </c>
      <c r="L272" s="10">
        <v>114816</v>
      </c>
      <c r="M272" s="6">
        <v>78000</v>
      </c>
      <c r="N272" s="6">
        <v>36816</v>
      </c>
      <c r="O272" s="6" t="s">
        <v>68</v>
      </c>
      <c r="P272" s="6" t="s">
        <v>25</v>
      </c>
      <c r="Q272" s="6" t="s">
        <v>26</v>
      </c>
    </row>
    <row r="273" spans="1:17" x14ac:dyDescent="0.3">
      <c r="A273" s="6" t="s">
        <v>678</v>
      </c>
      <c r="B273" s="7">
        <v>45812</v>
      </c>
      <c r="C273" s="6" t="s">
        <v>505</v>
      </c>
      <c r="D273" s="6" t="s">
        <v>506</v>
      </c>
      <c r="E273" s="6" t="s">
        <v>20</v>
      </c>
      <c r="F273" s="6" t="s">
        <v>21</v>
      </c>
      <c r="G273" s="6" t="s">
        <v>22</v>
      </c>
      <c r="H273" s="6" t="s">
        <v>23</v>
      </c>
      <c r="I273" s="6">
        <v>5</v>
      </c>
      <c r="J273" s="8">
        <v>405200</v>
      </c>
      <c r="K273" s="9">
        <v>0</v>
      </c>
      <c r="L273" s="10">
        <v>2026000</v>
      </c>
      <c r="M273" s="6">
        <v>1500000</v>
      </c>
      <c r="N273" s="6">
        <v>526000</v>
      </c>
      <c r="O273" s="6" t="s">
        <v>24</v>
      </c>
      <c r="P273" s="6" t="s">
        <v>119</v>
      </c>
      <c r="Q273" s="6" t="s">
        <v>26</v>
      </c>
    </row>
    <row r="274" spans="1:17" x14ac:dyDescent="0.3">
      <c r="A274" s="6" t="s">
        <v>679</v>
      </c>
      <c r="B274" s="7">
        <v>45813</v>
      </c>
      <c r="C274" s="6" t="s">
        <v>680</v>
      </c>
      <c r="D274" s="6" t="s">
        <v>681</v>
      </c>
      <c r="E274" s="6" t="s">
        <v>67</v>
      </c>
      <c r="F274" s="6" t="s">
        <v>236</v>
      </c>
      <c r="G274" s="6" t="s">
        <v>22</v>
      </c>
      <c r="H274" s="6" t="s">
        <v>49</v>
      </c>
      <c r="I274" s="6">
        <v>4</v>
      </c>
      <c r="J274" s="8">
        <v>1203900</v>
      </c>
      <c r="K274" s="9">
        <v>0</v>
      </c>
      <c r="L274" s="10">
        <v>4815600</v>
      </c>
      <c r="M274" s="6">
        <v>3800000</v>
      </c>
      <c r="N274" s="6">
        <v>1015600</v>
      </c>
      <c r="O274" s="6" t="s">
        <v>24</v>
      </c>
      <c r="P274" s="6" t="s">
        <v>119</v>
      </c>
      <c r="Q274" s="6" t="s">
        <v>26</v>
      </c>
    </row>
    <row r="275" spans="1:17" x14ac:dyDescent="0.3">
      <c r="A275" s="6" t="s">
        <v>682</v>
      </c>
      <c r="B275" s="7">
        <v>45813</v>
      </c>
      <c r="C275" s="6" t="s">
        <v>312</v>
      </c>
      <c r="D275" s="6" t="s">
        <v>313</v>
      </c>
      <c r="E275" s="6" t="s">
        <v>36</v>
      </c>
      <c r="F275" s="6" t="s">
        <v>36</v>
      </c>
      <c r="G275" s="6" t="s">
        <v>38</v>
      </c>
      <c r="H275" s="6" t="s">
        <v>39</v>
      </c>
      <c r="I275" s="6">
        <v>4</v>
      </c>
      <c r="J275" s="8">
        <v>29900</v>
      </c>
      <c r="K275" s="9">
        <v>0.05</v>
      </c>
      <c r="L275" s="10">
        <v>113620</v>
      </c>
      <c r="M275" s="6">
        <v>60000</v>
      </c>
      <c r="N275" s="6">
        <v>53620</v>
      </c>
      <c r="O275" s="6" t="s">
        <v>40</v>
      </c>
      <c r="P275" s="6" t="s">
        <v>63</v>
      </c>
      <c r="Q275" s="6" t="s">
        <v>26</v>
      </c>
    </row>
    <row r="276" spans="1:17" x14ac:dyDescent="0.3">
      <c r="A276" s="6" t="s">
        <v>683</v>
      </c>
      <c r="B276" s="7">
        <v>45813</v>
      </c>
      <c r="C276" s="6" t="s">
        <v>684</v>
      </c>
      <c r="D276" s="6" t="s">
        <v>685</v>
      </c>
      <c r="E276" s="6" t="s">
        <v>36</v>
      </c>
      <c r="F276" s="6" t="s">
        <v>37</v>
      </c>
      <c r="G276" s="6" t="s">
        <v>38</v>
      </c>
      <c r="H276" s="6" t="s">
        <v>214</v>
      </c>
      <c r="I276" s="6">
        <v>2</v>
      </c>
      <c r="J276" s="8">
        <v>43400</v>
      </c>
      <c r="K276" s="9">
        <v>0.05</v>
      </c>
      <c r="L276" s="10">
        <v>82460</v>
      </c>
      <c r="M276" s="6">
        <v>52000</v>
      </c>
      <c r="N276" s="6">
        <v>30460</v>
      </c>
      <c r="O276" s="6" t="s">
        <v>104</v>
      </c>
      <c r="P276" s="6" t="s">
        <v>74</v>
      </c>
      <c r="Q276" s="6" t="s">
        <v>26</v>
      </c>
    </row>
    <row r="277" spans="1:17" x14ac:dyDescent="0.3">
      <c r="A277" s="6" t="s">
        <v>686</v>
      </c>
      <c r="B277" s="7">
        <v>45814</v>
      </c>
      <c r="C277" s="6" t="s">
        <v>687</v>
      </c>
      <c r="D277" s="6" t="s">
        <v>688</v>
      </c>
      <c r="E277" s="6" t="s">
        <v>87</v>
      </c>
      <c r="F277" s="6" t="s">
        <v>131</v>
      </c>
      <c r="G277" s="6" t="s">
        <v>38</v>
      </c>
      <c r="H277" s="6" t="s">
        <v>39</v>
      </c>
      <c r="I277" s="6">
        <v>1</v>
      </c>
      <c r="J277" s="8">
        <v>29500</v>
      </c>
      <c r="K277" s="9">
        <v>0.02</v>
      </c>
      <c r="L277" s="10">
        <v>28910</v>
      </c>
      <c r="M277" s="6">
        <v>15000</v>
      </c>
      <c r="N277" s="6">
        <v>13910</v>
      </c>
      <c r="O277" s="6" t="s">
        <v>104</v>
      </c>
      <c r="P277" s="6" t="s">
        <v>163</v>
      </c>
      <c r="Q277" s="6" t="s">
        <v>26</v>
      </c>
    </row>
    <row r="278" spans="1:17" x14ac:dyDescent="0.3">
      <c r="A278" s="6" t="s">
        <v>689</v>
      </c>
      <c r="B278" s="7">
        <v>45816</v>
      </c>
      <c r="C278" s="6" t="s">
        <v>304</v>
      </c>
      <c r="D278" s="6" t="s">
        <v>305</v>
      </c>
      <c r="E278" s="6" t="s">
        <v>87</v>
      </c>
      <c r="F278" s="6" t="s">
        <v>88</v>
      </c>
      <c r="G278" s="6" t="s">
        <v>38</v>
      </c>
      <c r="H278" s="6" t="s">
        <v>53</v>
      </c>
      <c r="I278" s="6">
        <v>1</v>
      </c>
      <c r="J278" s="8">
        <v>351200</v>
      </c>
      <c r="K278" s="9">
        <v>0.02</v>
      </c>
      <c r="L278" s="10">
        <v>344176</v>
      </c>
      <c r="M278" s="6">
        <v>280000</v>
      </c>
      <c r="N278" s="6">
        <v>64176</v>
      </c>
      <c r="O278" s="6" t="s">
        <v>31</v>
      </c>
      <c r="P278" s="6" t="s">
        <v>74</v>
      </c>
      <c r="Q278" s="6" t="s">
        <v>26</v>
      </c>
    </row>
    <row r="279" spans="1:17" x14ac:dyDescent="0.3">
      <c r="A279" s="6" t="s">
        <v>690</v>
      </c>
      <c r="B279" s="7">
        <v>45816</v>
      </c>
      <c r="C279" s="6" t="s">
        <v>286</v>
      </c>
      <c r="D279" s="6" t="s">
        <v>287</v>
      </c>
      <c r="E279" s="6" t="s">
        <v>30</v>
      </c>
      <c r="F279" s="6" t="s">
        <v>222</v>
      </c>
      <c r="G279" s="6" t="s">
        <v>44</v>
      </c>
      <c r="H279" s="6" t="s">
        <v>89</v>
      </c>
      <c r="I279" s="6">
        <v>5</v>
      </c>
      <c r="J279" s="8">
        <v>179900</v>
      </c>
      <c r="K279" s="9">
        <v>0.02</v>
      </c>
      <c r="L279" s="10">
        <v>881510</v>
      </c>
      <c r="M279" s="6">
        <v>575000</v>
      </c>
      <c r="N279" s="6">
        <v>306510</v>
      </c>
      <c r="O279" s="6" t="s">
        <v>40</v>
      </c>
      <c r="P279" s="6" t="s">
        <v>63</v>
      </c>
      <c r="Q279" s="6" t="s">
        <v>26</v>
      </c>
    </row>
    <row r="280" spans="1:17" x14ac:dyDescent="0.3">
      <c r="A280" s="6" t="s">
        <v>691</v>
      </c>
      <c r="B280" s="7">
        <v>45816</v>
      </c>
      <c r="C280" s="6" t="s">
        <v>557</v>
      </c>
      <c r="D280" s="6" t="s">
        <v>558</v>
      </c>
      <c r="E280" s="6" t="s">
        <v>36</v>
      </c>
      <c r="F280" s="6" t="s">
        <v>36</v>
      </c>
      <c r="G280" s="6" t="s">
        <v>22</v>
      </c>
      <c r="H280" s="6" t="s">
        <v>58</v>
      </c>
      <c r="I280" s="6">
        <v>6</v>
      </c>
      <c r="J280" s="8">
        <v>102400</v>
      </c>
      <c r="K280" s="9">
        <v>0</v>
      </c>
      <c r="L280" s="10">
        <v>-614400</v>
      </c>
      <c r="M280" s="6">
        <v>-330000</v>
      </c>
      <c r="N280" s="6">
        <v>-284400</v>
      </c>
      <c r="O280" s="6" t="s">
        <v>40</v>
      </c>
      <c r="P280" s="6" t="s">
        <v>25</v>
      </c>
      <c r="Q280" s="6" t="s">
        <v>105</v>
      </c>
    </row>
    <row r="281" spans="1:17" x14ac:dyDescent="0.3">
      <c r="A281" s="6" t="s">
        <v>692</v>
      </c>
      <c r="B281" s="7">
        <v>45816</v>
      </c>
      <c r="C281" s="6" t="s">
        <v>693</v>
      </c>
      <c r="D281" s="6" t="s">
        <v>694</v>
      </c>
      <c r="E281" s="6" t="s">
        <v>20</v>
      </c>
      <c r="F281" s="6" t="s">
        <v>123</v>
      </c>
      <c r="G281" s="6" t="s">
        <v>38</v>
      </c>
      <c r="H281" s="6" t="s">
        <v>214</v>
      </c>
      <c r="I281" s="6">
        <v>3</v>
      </c>
      <c r="J281" s="8">
        <v>41800</v>
      </c>
      <c r="K281" s="9">
        <v>0.02</v>
      </c>
      <c r="L281" s="10">
        <v>122892</v>
      </c>
      <c r="M281" s="6">
        <v>78000</v>
      </c>
      <c r="N281" s="6">
        <v>44892</v>
      </c>
      <c r="O281" s="6" t="s">
        <v>31</v>
      </c>
      <c r="P281" s="6" t="s">
        <v>54</v>
      </c>
      <c r="Q281" s="6" t="s">
        <v>26</v>
      </c>
    </row>
    <row r="282" spans="1:17" x14ac:dyDescent="0.3">
      <c r="A282" s="6" t="s">
        <v>695</v>
      </c>
      <c r="B282" s="7">
        <v>45817</v>
      </c>
      <c r="C282" s="6" t="s">
        <v>607</v>
      </c>
      <c r="D282" s="6" t="s">
        <v>608</v>
      </c>
      <c r="E282" s="6" t="s">
        <v>87</v>
      </c>
      <c r="F282" s="6" t="s">
        <v>88</v>
      </c>
      <c r="G282" s="6" t="s">
        <v>38</v>
      </c>
      <c r="H282" s="6" t="s">
        <v>53</v>
      </c>
      <c r="I282" s="6">
        <v>1</v>
      </c>
      <c r="J282" s="8">
        <v>398900</v>
      </c>
      <c r="K282" s="9">
        <v>0.08</v>
      </c>
      <c r="L282" s="10">
        <v>366988</v>
      </c>
      <c r="M282" s="6">
        <v>280000</v>
      </c>
      <c r="N282" s="6">
        <v>86988</v>
      </c>
      <c r="O282" s="6" t="s">
        <v>40</v>
      </c>
      <c r="P282" s="6" t="s">
        <v>32</v>
      </c>
      <c r="Q282" s="6" t="s">
        <v>26</v>
      </c>
    </row>
    <row r="283" spans="1:17" x14ac:dyDescent="0.3">
      <c r="A283" s="6" t="s">
        <v>696</v>
      </c>
      <c r="B283" s="7">
        <v>45818</v>
      </c>
      <c r="C283" s="6" t="s">
        <v>697</v>
      </c>
      <c r="D283" s="6" t="s">
        <v>698</v>
      </c>
      <c r="E283" s="6" t="s">
        <v>20</v>
      </c>
      <c r="F283" s="6" t="s">
        <v>62</v>
      </c>
      <c r="G283" s="6" t="s">
        <v>38</v>
      </c>
      <c r="H283" s="6" t="s">
        <v>53</v>
      </c>
      <c r="I283" s="6">
        <v>7</v>
      </c>
      <c r="J283" s="8">
        <v>391200</v>
      </c>
      <c r="K283" s="9">
        <v>0.05</v>
      </c>
      <c r="L283" s="10">
        <v>0</v>
      </c>
      <c r="M283" s="6">
        <v>0</v>
      </c>
      <c r="N283" s="6">
        <v>0</v>
      </c>
      <c r="O283" s="6" t="s">
        <v>31</v>
      </c>
      <c r="P283" s="6" t="s">
        <v>54</v>
      </c>
      <c r="Q283" s="6" t="s">
        <v>69</v>
      </c>
    </row>
    <row r="284" spans="1:17" x14ac:dyDescent="0.3">
      <c r="A284" s="6" t="s">
        <v>699</v>
      </c>
      <c r="B284" s="7">
        <v>45818</v>
      </c>
      <c r="C284" s="6" t="s">
        <v>384</v>
      </c>
      <c r="D284" s="6" t="s">
        <v>385</v>
      </c>
      <c r="E284" s="6" t="s">
        <v>20</v>
      </c>
      <c r="F284" s="6" t="s">
        <v>62</v>
      </c>
      <c r="G284" s="6" t="s">
        <v>38</v>
      </c>
      <c r="H284" s="6" t="s">
        <v>214</v>
      </c>
      <c r="I284" s="6">
        <v>7</v>
      </c>
      <c r="J284" s="8">
        <v>47500</v>
      </c>
      <c r="K284" s="9">
        <v>0.15</v>
      </c>
      <c r="L284" s="10">
        <v>282625</v>
      </c>
      <c r="M284" s="6">
        <v>182000</v>
      </c>
      <c r="N284" s="6">
        <v>100625</v>
      </c>
      <c r="O284" s="6" t="s">
        <v>68</v>
      </c>
      <c r="P284" s="6" t="s">
        <v>74</v>
      </c>
      <c r="Q284" s="6" t="s">
        <v>26</v>
      </c>
    </row>
    <row r="285" spans="1:17" x14ac:dyDescent="0.3">
      <c r="A285" s="6" t="s">
        <v>700</v>
      </c>
      <c r="B285" s="7">
        <v>45818</v>
      </c>
      <c r="C285" s="6" t="s">
        <v>220</v>
      </c>
      <c r="D285" s="6" t="s">
        <v>221</v>
      </c>
      <c r="E285" s="6" t="s">
        <v>20</v>
      </c>
      <c r="F285" s="6" t="s">
        <v>123</v>
      </c>
      <c r="G285" s="6" t="s">
        <v>22</v>
      </c>
      <c r="H285" s="6" t="s">
        <v>83</v>
      </c>
      <c r="I285" s="6">
        <v>4</v>
      </c>
      <c r="J285" s="8">
        <v>620100</v>
      </c>
      <c r="K285" s="9">
        <v>0.05</v>
      </c>
      <c r="L285" s="10">
        <v>0</v>
      </c>
      <c r="M285" s="6">
        <v>0</v>
      </c>
      <c r="N285" s="6">
        <v>0</v>
      </c>
      <c r="O285" s="6" t="s">
        <v>40</v>
      </c>
      <c r="P285" s="6" t="s">
        <v>54</v>
      </c>
      <c r="Q285" s="6" t="s">
        <v>69</v>
      </c>
    </row>
    <row r="286" spans="1:17" x14ac:dyDescent="0.3">
      <c r="A286" s="6" t="s">
        <v>701</v>
      </c>
      <c r="B286" s="7">
        <v>45819</v>
      </c>
      <c r="C286" s="6" t="s">
        <v>244</v>
      </c>
      <c r="D286" s="6" t="s">
        <v>245</v>
      </c>
      <c r="E286" s="6" t="s">
        <v>87</v>
      </c>
      <c r="F286" s="6" t="s">
        <v>131</v>
      </c>
      <c r="G286" s="6" t="s">
        <v>22</v>
      </c>
      <c r="H286" s="6" t="s">
        <v>23</v>
      </c>
      <c r="I286" s="6">
        <v>4</v>
      </c>
      <c r="J286" s="8">
        <v>397400</v>
      </c>
      <c r="K286" s="9">
        <v>0.02</v>
      </c>
      <c r="L286" s="10">
        <v>1557808</v>
      </c>
      <c r="M286" s="6">
        <v>1200000</v>
      </c>
      <c r="N286" s="6">
        <v>357808</v>
      </c>
      <c r="O286" s="6" t="s">
        <v>31</v>
      </c>
      <c r="P286" s="6" t="s">
        <v>63</v>
      </c>
      <c r="Q286" s="6" t="s">
        <v>26</v>
      </c>
    </row>
    <row r="287" spans="1:17" x14ac:dyDescent="0.3">
      <c r="A287" s="6" t="s">
        <v>702</v>
      </c>
      <c r="B287" s="7">
        <v>45820</v>
      </c>
      <c r="C287" s="6" t="s">
        <v>353</v>
      </c>
      <c r="D287" s="6" t="s">
        <v>354</v>
      </c>
      <c r="E287" s="6" t="s">
        <v>20</v>
      </c>
      <c r="F287" s="6" t="s">
        <v>20</v>
      </c>
      <c r="G287" s="6" t="s">
        <v>38</v>
      </c>
      <c r="H287" s="6" t="s">
        <v>214</v>
      </c>
      <c r="I287" s="6">
        <v>7</v>
      </c>
      <c r="J287" s="8">
        <v>43500</v>
      </c>
      <c r="K287" s="9">
        <v>0.08</v>
      </c>
      <c r="L287" s="10">
        <v>280140</v>
      </c>
      <c r="M287" s="6">
        <v>182000</v>
      </c>
      <c r="N287" s="6">
        <v>98140</v>
      </c>
      <c r="O287" s="6" t="s">
        <v>68</v>
      </c>
      <c r="P287" s="6" t="s">
        <v>25</v>
      </c>
      <c r="Q287" s="6" t="s">
        <v>26</v>
      </c>
    </row>
    <row r="288" spans="1:17" x14ac:dyDescent="0.3">
      <c r="A288" s="6" t="s">
        <v>703</v>
      </c>
      <c r="B288" s="7">
        <v>45821</v>
      </c>
      <c r="C288" s="6" t="s">
        <v>704</v>
      </c>
      <c r="D288" s="6" t="s">
        <v>705</v>
      </c>
      <c r="E288" s="6" t="s">
        <v>20</v>
      </c>
      <c r="F288" s="6" t="s">
        <v>123</v>
      </c>
      <c r="G288" s="6" t="s">
        <v>22</v>
      </c>
      <c r="H288" s="6" t="s">
        <v>58</v>
      </c>
      <c r="I288" s="6">
        <v>5</v>
      </c>
      <c r="J288" s="8">
        <v>100600</v>
      </c>
      <c r="K288" s="9">
        <v>0.05</v>
      </c>
      <c r="L288" s="10">
        <v>477850</v>
      </c>
      <c r="M288" s="6">
        <v>275000</v>
      </c>
      <c r="N288" s="6">
        <v>202850</v>
      </c>
      <c r="O288" s="6" t="s">
        <v>104</v>
      </c>
      <c r="P288" s="6" t="s">
        <v>63</v>
      </c>
      <c r="Q288" s="6" t="s">
        <v>26</v>
      </c>
    </row>
    <row r="289" spans="1:17" x14ac:dyDescent="0.3">
      <c r="A289" s="6" t="s">
        <v>706</v>
      </c>
      <c r="B289" s="7">
        <v>45822</v>
      </c>
      <c r="C289" s="6" t="s">
        <v>707</v>
      </c>
      <c r="D289" s="6" t="s">
        <v>708</v>
      </c>
      <c r="E289" s="6" t="s">
        <v>67</v>
      </c>
      <c r="F289" s="6" t="s">
        <v>100</v>
      </c>
      <c r="G289" s="6" t="s">
        <v>38</v>
      </c>
      <c r="H289" s="6" t="s">
        <v>214</v>
      </c>
      <c r="I289" s="6">
        <v>4</v>
      </c>
      <c r="J289" s="8">
        <v>43700</v>
      </c>
      <c r="K289" s="9">
        <v>0.05</v>
      </c>
      <c r="L289" s="10">
        <v>166060</v>
      </c>
      <c r="M289" s="6">
        <v>104000</v>
      </c>
      <c r="N289" s="6">
        <v>62060</v>
      </c>
      <c r="O289" s="6" t="s">
        <v>104</v>
      </c>
      <c r="P289" s="6" t="s">
        <v>63</v>
      </c>
      <c r="Q289" s="6" t="s">
        <v>26</v>
      </c>
    </row>
    <row r="290" spans="1:17" x14ac:dyDescent="0.3">
      <c r="A290" s="6" t="s">
        <v>709</v>
      </c>
      <c r="B290" s="7">
        <v>45822</v>
      </c>
      <c r="C290" s="6" t="s">
        <v>580</v>
      </c>
      <c r="D290" s="6" t="s">
        <v>581</v>
      </c>
      <c r="E290" s="6" t="s">
        <v>20</v>
      </c>
      <c r="F290" s="6" t="s">
        <v>21</v>
      </c>
      <c r="G290" s="6" t="s">
        <v>38</v>
      </c>
      <c r="H290" s="6" t="s">
        <v>53</v>
      </c>
      <c r="I290" s="6">
        <v>1</v>
      </c>
      <c r="J290" s="8">
        <v>383600</v>
      </c>
      <c r="K290" s="9">
        <v>0.05</v>
      </c>
      <c r="L290" s="10">
        <v>364420</v>
      </c>
      <c r="M290" s="6">
        <v>280000</v>
      </c>
      <c r="N290" s="6">
        <v>84420</v>
      </c>
      <c r="O290" s="6" t="s">
        <v>24</v>
      </c>
      <c r="P290" s="6" t="s">
        <v>90</v>
      </c>
      <c r="Q290" s="6" t="s">
        <v>26</v>
      </c>
    </row>
    <row r="291" spans="1:17" x14ac:dyDescent="0.3">
      <c r="A291" s="6" t="s">
        <v>710</v>
      </c>
      <c r="B291" s="7">
        <v>45823</v>
      </c>
      <c r="C291" s="6" t="s">
        <v>484</v>
      </c>
      <c r="D291" s="6" t="s">
        <v>485</v>
      </c>
      <c r="E291" s="6" t="s">
        <v>20</v>
      </c>
      <c r="F291" s="6" t="s">
        <v>20</v>
      </c>
      <c r="G291" s="6" t="s">
        <v>38</v>
      </c>
      <c r="H291" s="6" t="s">
        <v>53</v>
      </c>
      <c r="I291" s="6">
        <v>3</v>
      </c>
      <c r="J291" s="8">
        <v>390600</v>
      </c>
      <c r="K291" s="9">
        <v>0.05</v>
      </c>
      <c r="L291" s="10">
        <v>1113210</v>
      </c>
      <c r="M291" s="6">
        <v>840000</v>
      </c>
      <c r="N291" s="6">
        <v>273210</v>
      </c>
      <c r="O291" s="6" t="s">
        <v>68</v>
      </c>
      <c r="P291" s="6" t="s">
        <v>90</v>
      </c>
      <c r="Q291" s="6" t="s">
        <v>26</v>
      </c>
    </row>
    <row r="292" spans="1:17" x14ac:dyDescent="0.3">
      <c r="A292" s="6" t="s">
        <v>711</v>
      </c>
      <c r="B292" s="7">
        <v>45823</v>
      </c>
      <c r="C292" s="6" t="s">
        <v>564</v>
      </c>
      <c r="D292" s="6" t="s">
        <v>565</v>
      </c>
      <c r="E292" s="6" t="s">
        <v>20</v>
      </c>
      <c r="F292" s="6" t="s">
        <v>20</v>
      </c>
      <c r="G292" s="6" t="s">
        <v>44</v>
      </c>
      <c r="H292" s="6" t="s">
        <v>89</v>
      </c>
      <c r="I292" s="6">
        <v>1</v>
      </c>
      <c r="J292" s="8">
        <v>166700</v>
      </c>
      <c r="K292" s="9">
        <v>0.05</v>
      </c>
      <c r="L292" s="10">
        <v>158365</v>
      </c>
      <c r="M292" s="6">
        <v>115000</v>
      </c>
      <c r="N292" s="6">
        <v>43365</v>
      </c>
      <c r="O292" s="6" t="s">
        <v>40</v>
      </c>
      <c r="P292" s="6" t="s">
        <v>90</v>
      </c>
      <c r="Q292" s="6" t="s">
        <v>26</v>
      </c>
    </row>
    <row r="293" spans="1:17" x14ac:dyDescent="0.3">
      <c r="A293" s="6" t="s">
        <v>712</v>
      </c>
      <c r="B293" s="7">
        <v>45825</v>
      </c>
      <c r="C293" s="6" t="s">
        <v>146</v>
      </c>
      <c r="D293" s="6" t="s">
        <v>147</v>
      </c>
      <c r="E293" s="6" t="s">
        <v>20</v>
      </c>
      <c r="F293" s="6" t="s">
        <v>20</v>
      </c>
      <c r="G293" s="6" t="s">
        <v>22</v>
      </c>
      <c r="H293" s="6" t="s">
        <v>58</v>
      </c>
      <c r="I293" s="6">
        <v>6</v>
      </c>
      <c r="J293" s="8">
        <v>89200</v>
      </c>
      <c r="K293" s="9">
        <v>0.15</v>
      </c>
      <c r="L293" s="10">
        <v>454920</v>
      </c>
      <c r="M293" s="6">
        <v>330000</v>
      </c>
      <c r="N293" s="6">
        <v>124920</v>
      </c>
      <c r="O293" s="6" t="s">
        <v>104</v>
      </c>
      <c r="P293" s="6" t="s">
        <v>32</v>
      </c>
      <c r="Q293" s="6" t="s">
        <v>26</v>
      </c>
    </row>
    <row r="294" spans="1:17" x14ac:dyDescent="0.3">
      <c r="A294" s="6" t="s">
        <v>713</v>
      </c>
      <c r="B294" s="7">
        <v>45825</v>
      </c>
      <c r="C294" s="6" t="s">
        <v>461</v>
      </c>
      <c r="D294" s="6" t="s">
        <v>462</v>
      </c>
      <c r="E294" s="6" t="s">
        <v>20</v>
      </c>
      <c r="F294" s="6" t="s">
        <v>21</v>
      </c>
      <c r="G294" s="6" t="s">
        <v>22</v>
      </c>
      <c r="H294" s="6" t="s">
        <v>83</v>
      </c>
      <c r="I294" s="6">
        <v>7</v>
      </c>
      <c r="J294" s="8">
        <v>624100</v>
      </c>
      <c r="K294" s="9">
        <v>0.08</v>
      </c>
      <c r="L294" s="10">
        <v>4019204</v>
      </c>
      <c r="M294" s="6">
        <v>3290000</v>
      </c>
      <c r="N294" s="6">
        <v>729204</v>
      </c>
      <c r="O294" s="6" t="s">
        <v>40</v>
      </c>
      <c r="P294" s="6" t="s">
        <v>90</v>
      </c>
      <c r="Q294" s="6" t="s">
        <v>26</v>
      </c>
    </row>
    <row r="295" spans="1:17" x14ac:dyDescent="0.3">
      <c r="A295" s="6" t="s">
        <v>714</v>
      </c>
      <c r="B295" s="7">
        <v>45827</v>
      </c>
      <c r="C295" s="6" t="s">
        <v>277</v>
      </c>
      <c r="D295" s="6" t="s">
        <v>278</v>
      </c>
      <c r="E295" s="6" t="s">
        <v>30</v>
      </c>
      <c r="F295" s="6" t="s">
        <v>222</v>
      </c>
      <c r="G295" s="6" t="s">
        <v>38</v>
      </c>
      <c r="H295" s="6" t="s">
        <v>214</v>
      </c>
      <c r="I295" s="6">
        <v>7</v>
      </c>
      <c r="J295" s="8">
        <v>44400</v>
      </c>
      <c r="K295" s="9">
        <v>0.08</v>
      </c>
      <c r="L295" s="10">
        <v>285936</v>
      </c>
      <c r="M295" s="6">
        <v>182000</v>
      </c>
      <c r="N295" s="6">
        <v>103936</v>
      </c>
      <c r="O295" s="6" t="s">
        <v>68</v>
      </c>
      <c r="P295" s="6" t="s">
        <v>32</v>
      </c>
      <c r="Q295" s="6" t="s">
        <v>26</v>
      </c>
    </row>
    <row r="296" spans="1:17" x14ac:dyDescent="0.3">
      <c r="A296" s="6" t="s">
        <v>715</v>
      </c>
      <c r="B296" s="7">
        <v>45829</v>
      </c>
      <c r="C296" s="6" t="s">
        <v>716</v>
      </c>
      <c r="D296" s="6" t="s">
        <v>717</v>
      </c>
      <c r="E296" s="6" t="s">
        <v>30</v>
      </c>
      <c r="F296" s="6" t="s">
        <v>222</v>
      </c>
      <c r="G296" s="6" t="s">
        <v>38</v>
      </c>
      <c r="H296" s="6" t="s">
        <v>214</v>
      </c>
      <c r="I296" s="6">
        <v>4</v>
      </c>
      <c r="J296" s="8">
        <v>48300</v>
      </c>
      <c r="K296" s="9">
        <v>0.05</v>
      </c>
      <c r="L296" s="10">
        <v>183540</v>
      </c>
      <c r="M296" s="6">
        <v>104000</v>
      </c>
      <c r="N296" s="6">
        <v>79540</v>
      </c>
      <c r="O296" s="6" t="s">
        <v>104</v>
      </c>
      <c r="P296" s="6" t="s">
        <v>63</v>
      </c>
      <c r="Q296" s="6" t="s">
        <v>26</v>
      </c>
    </row>
    <row r="297" spans="1:17" x14ac:dyDescent="0.3">
      <c r="A297" s="6" t="s">
        <v>718</v>
      </c>
      <c r="B297" s="7">
        <v>45829</v>
      </c>
      <c r="C297" s="6" t="s">
        <v>719</v>
      </c>
      <c r="D297" s="6" t="s">
        <v>720</v>
      </c>
      <c r="E297" s="6" t="s">
        <v>20</v>
      </c>
      <c r="F297" s="6" t="s">
        <v>123</v>
      </c>
      <c r="G297" s="6" t="s">
        <v>44</v>
      </c>
      <c r="H297" s="6" t="s">
        <v>73</v>
      </c>
      <c r="I297" s="6">
        <v>1</v>
      </c>
      <c r="J297" s="8">
        <v>294600</v>
      </c>
      <c r="K297" s="9">
        <v>0.08</v>
      </c>
      <c r="L297" s="10">
        <v>271032</v>
      </c>
      <c r="M297" s="6">
        <v>210000</v>
      </c>
      <c r="N297" s="6">
        <v>61032</v>
      </c>
      <c r="O297" s="6" t="s">
        <v>40</v>
      </c>
      <c r="P297" s="6" t="s">
        <v>32</v>
      </c>
      <c r="Q297" s="6" t="s">
        <v>26</v>
      </c>
    </row>
    <row r="298" spans="1:17" x14ac:dyDescent="0.3">
      <c r="A298" s="6" t="s">
        <v>721</v>
      </c>
      <c r="B298" s="7">
        <v>45829</v>
      </c>
      <c r="C298" s="6" t="s">
        <v>489</v>
      </c>
      <c r="D298" s="6" t="s">
        <v>490</v>
      </c>
      <c r="E298" s="6" t="s">
        <v>20</v>
      </c>
      <c r="F298" s="6" t="s">
        <v>123</v>
      </c>
      <c r="G298" s="6" t="s">
        <v>22</v>
      </c>
      <c r="H298" s="6" t="s">
        <v>83</v>
      </c>
      <c r="I298" s="6">
        <v>4</v>
      </c>
      <c r="J298" s="8">
        <v>676200</v>
      </c>
      <c r="K298" s="9">
        <v>0.1</v>
      </c>
      <c r="L298" s="10">
        <v>2434320</v>
      </c>
      <c r="M298" s="6">
        <v>1880000</v>
      </c>
      <c r="N298" s="6">
        <v>554320</v>
      </c>
      <c r="O298" s="6" t="s">
        <v>68</v>
      </c>
      <c r="P298" s="6" t="s">
        <v>54</v>
      </c>
      <c r="Q298" s="6" t="s">
        <v>26</v>
      </c>
    </row>
    <row r="299" spans="1:17" x14ac:dyDescent="0.3">
      <c r="A299" s="6" t="s">
        <v>722</v>
      </c>
      <c r="B299" s="7">
        <v>45830</v>
      </c>
      <c r="C299" s="6" t="s">
        <v>253</v>
      </c>
      <c r="D299" s="6" t="s">
        <v>254</v>
      </c>
      <c r="E299" s="6" t="s">
        <v>30</v>
      </c>
      <c r="F299" s="6" t="s">
        <v>222</v>
      </c>
      <c r="G299" s="6" t="s">
        <v>38</v>
      </c>
      <c r="H299" s="6" t="s">
        <v>214</v>
      </c>
      <c r="I299" s="6">
        <v>5</v>
      </c>
      <c r="J299" s="8">
        <v>44500</v>
      </c>
      <c r="K299" s="9">
        <v>0.02</v>
      </c>
      <c r="L299" s="10">
        <v>-218050</v>
      </c>
      <c r="M299" s="6">
        <v>-130000</v>
      </c>
      <c r="N299" s="6">
        <v>-88050</v>
      </c>
      <c r="O299" s="6" t="s">
        <v>68</v>
      </c>
      <c r="P299" s="6" t="s">
        <v>74</v>
      </c>
      <c r="Q299" s="6" t="s">
        <v>105</v>
      </c>
    </row>
    <row r="300" spans="1:17" x14ac:dyDescent="0.3">
      <c r="A300" s="6" t="s">
        <v>723</v>
      </c>
      <c r="B300" s="7">
        <v>45832</v>
      </c>
      <c r="C300" s="6" t="s">
        <v>471</v>
      </c>
      <c r="D300" s="6" t="s">
        <v>472</v>
      </c>
      <c r="E300" s="6" t="s">
        <v>20</v>
      </c>
      <c r="F300" s="6" t="s">
        <v>20</v>
      </c>
      <c r="G300" s="6" t="s">
        <v>78</v>
      </c>
      <c r="H300" s="6" t="s">
        <v>115</v>
      </c>
      <c r="I300" s="6">
        <v>6</v>
      </c>
      <c r="J300" s="8">
        <v>90100</v>
      </c>
      <c r="K300" s="9">
        <v>0.1</v>
      </c>
      <c r="L300" s="10">
        <v>486540</v>
      </c>
      <c r="M300" s="6">
        <v>348000</v>
      </c>
      <c r="N300" s="6">
        <v>138540</v>
      </c>
      <c r="O300" s="6" t="s">
        <v>40</v>
      </c>
      <c r="P300" s="6" t="s">
        <v>54</v>
      </c>
      <c r="Q300" s="6" t="s">
        <v>26</v>
      </c>
    </row>
    <row r="301" spans="1:17" x14ac:dyDescent="0.3">
      <c r="A301" s="6" t="s">
        <v>724</v>
      </c>
      <c r="B301" s="7">
        <v>45832</v>
      </c>
      <c r="C301" s="6" t="s">
        <v>725</v>
      </c>
      <c r="D301" s="6" t="s">
        <v>726</v>
      </c>
      <c r="E301" s="6" t="s">
        <v>67</v>
      </c>
      <c r="F301" s="6" t="s">
        <v>236</v>
      </c>
      <c r="G301" s="6" t="s">
        <v>22</v>
      </c>
      <c r="H301" s="6" t="s">
        <v>23</v>
      </c>
      <c r="I301" s="6">
        <v>5</v>
      </c>
      <c r="J301" s="8">
        <v>409400</v>
      </c>
      <c r="K301" s="9">
        <v>0.08</v>
      </c>
      <c r="L301" s="10">
        <v>1883240</v>
      </c>
      <c r="M301" s="6">
        <v>1500000</v>
      </c>
      <c r="N301" s="6">
        <v>383240</v>
      </c>
      <c r="O301" s="6" t="s">
        <v>40</v>
      </c>
      <c r="P301" s="6" t="s">
        <v>54</v>
      </c>
      <c r="Q301" s="6" t="s">
        <v>26</v>
      </c>
    </row>
    <row r="302" spans="1:17" x14ac:dyDescent="0.3">
      <c r="A302" s="6" t="s">
        <v>727</v>
      </c>
      <c r="B302" s="7">
        <v>45832</v>
      </c>
      <c r="C302" s="6" t="s">
        <v>728</v>
      </c>
      <c r="D302" s="6" t="s">
        <v>729</v>
      </c>
      <c r="E302" s="6" t="s">
        <v>20</v>
      </c>
      <c r="F302" s="6" t="s">
        <v>20</v>
      </c>
      <c r="G302" s="6" t="s">
        <v>78</v>
      </c>
      <c r="H302" s="6" t="s">
        <v>79</v>
      </c>
      <c r="I302" s="6">
        <v>1</v>
      </c>
      <c r="J302" s="8">
        <v>30900</v>
      </c>
      <c r="K302" s="9">
        <v>0</v>
      </c>
      <c r="L302" s="10">
        <v>30900</v>
      </c>
      <c r="M302" s="6">
        <v>18000</v>
      </c>
      <c r="N302" s="6">
        <v>12900</v>
      </c>
      <c r="O302" s="6" t="s">
        <v>40</v>
      </c>
      <c r="P302" s="6" t="s">
        <v>90</v>
      </c>
      <c r="Q302" s="6" t="s">
        <v>26</v>
      </c>
    </row>
    <row r="303" spans="1:17" x14ac:dyDescent="0.3">
      <c r="A303" s="6" t="s">
        <v>730</v>
      </c>
      <c r="B303" s="7">
        <v>45833</v>
      </c>
      <c r="C303" s="6" t="s">
        <v>512</v>
      </c>
      <c r="D303" s="6" t="s">
        <v>513</v>
      </c>
      <c r="E303" s="6" t="s">
        <v>20</v>
      </c>
      <c r="F303" s="6" t="s">
        <v>123</v>
      </c>
      <c r="G303" s="6" t="s">
        <v>44</v>
      </c>
      <c r="H303" s="6" t="s">
        <v>45</v>
      </c>
      <c r="I303" s="6">
        <v>1</v>
      </c>
      <c r="J303" s="8">
        <v>549400</v>
      </c>
      <c r="K303" s="9">
        <v>0.08</v>
      </c>
      <c r="L303" s="10">
        <v>-505448</v>
      </c>
      <c r="M303" s="6">
        <v>-365000</v>
      </c>
      <c r="N303" s="6">
        <v>-140448</v>
      </c>
      <c r="O303" s="6" t="s">
        <v>40</v>
      </c>
      <c r="P303" s="6" t="s">
        <v>74</v>
      </c>
      <c r="Q303" s="6" t="s">
        <v>105</v>
      </c>
    </row>
    <row r="304" spans="1:17" x14ac:dyDescent="0.3">
      <c r="A304" s="6" t="s">
        <v>731</v>
      </c>
      <c r="B304" s="7">
        <v>45833</v>
      </c>
      <c r="C304" s="6" t="s">
        <v>732</v>
      </c>
      <c r="D304" s="6" t="s">
        <v>733</v>
      </c>
      <c r="E304" s="6" t="s">
        <v>20</v>
      </c>
      <c r="F304" s="6" t="s">
        <v>123</v>
      </c>
      <c r="G304" s="6" t="s">
        <v>22</v>
      </c>
      <c r="H304" s="6" t="s">
        <v>23</v>
      </c>
      <c r="I304" s="6">
        <v>4</v>
      </c>
      <c r="J304" s="8">
        <v>410900</v>
      </c>
      <c r="K304" s="9">
        <v>0.05</v>
      </c>
      <c r="L304" s="10">
        <v>1561420</v>
      </c>
      <c r="M304" s="6">
        <v>1200000</v>
      </c>
      <c r="N304" s="6">
        <v>361420</v>
      </c>
      <c r="O304" s="6" t="s">
        <v>68</v>
      </c>
      <c r="P304" s="6" t="s">
        <v>163</v>
      </c>
      <c r="Q304" s="6" t="s">
        <v>26</v>
      </c>
    </row>
    <row r="305" spans="1:17" x14ac:dyDescent="0.3">
      <c r="A305" s="6" t="s">
        <v>734</v>
      </c>
      <c r="B305" s="7">
        <v>45834</v>
      </c>
      <c r="C305" s="6" t="s">
        <v>231</v>
      </c>
      <c r="D305" s="6" t="s">
        <v>232</v>
      </c>
      <c r="E305" s="6" t="s">
        <v>36</v>
      </c>
      <c r="F305" s="6" t="s">
        <v>155</v>
      </c>
      <c r="G305" s="6" t="s">
        <v>22</v>
      </c>
      <c r="H305" s="6" t="s">
        <v>49</v>
      </c>
      <c r="I305" s="6">
        <v>5</v>
      </c>
      <c r="J305" s="8">
        <v>1330700</v>
      </c>
      <c r="K305" s="9">
        <v>0</v>
      </c>
      <c r="L305" s="10">
        <v>6653500</v>
      </c>
      <c r="M305" s="6">
        <v>4750000</v>
      </c>
      <c r="N305" s="6">
        <v>1903500</v>
      </c>
      <c r="O305" s="6" t="s">
        <v>40</v>
      </c>
      <c r="P305" s="6" t="s">
        <v>119</v>
      </c>
      <c r="Q305" s="6" t="s">
        <v>26</v>
      </c>
    </row>
    <row r="306" spans="1:17" x14ac:dyDescent="0.3">
      <c r="A306" s="6" t="s">
        <v>735</v>
      </c>
      <c r="B306" s="7">
        <v>45834</v>
      </c>
      <c r="C306" s="6" t="s">
        <v>736</v>
      </c>
      <c r="D306" s="6" t="s">
        <v>737</v>
      </c>
      <c r="E306" s="6" t="s">
        <v>20</v>
      </c>
      <c r="F306" s="6" t="s">
        <v>62</v>
      </c>
      <c r="G306" s="6" t="s">
        <v>78</v>
      </c>
      <c r="H306" s="6" t="s">
        <v>79</v>
      </c>
      <c r="I306" s="6">
        <v>1</v>
      </c>
      <c r="J306" s="8">
        <v>33000</v>
      </c>
      <c r="K306" s="9">
        <v>0.05</v>
      </c>
      <c r="L306" s="10">
        <v>31350</v>
      </c>
      <c r="M306" s="6">
        <v>18000</v>
      </c>
      <c r="N306" s="6">
        <v>13350</v>
      </c>
      <c r="O306" s="6" t="s">
        <v>104</v>
      </c>
      <c r="P306" s="6" t="s">
        <v>32</v>
      </c>
      <c r="Q306" s="6" t="s">
        <v>26</v>
      </c>
    </row>
    <row r="307" spans="1:17" x14ac:dyDescent="0.3">
      <c r="A307" s="6" t="s">
        <v>738</v>
      </c>
      <c r="B307" s="7">
        <v>45835</v>
      </c>
      <c r="C307" s="6" t="s">
        <v>157</v>
      </c>
      <c r="D307" s="6" t="s">
        <v>158</v>
      </c>
      <c r="E307" s="6" t="s">
        <v>36</v>
      </c>
      <c r="F307" s="6" t="s">
        <v>155</v>
      </c>
      <c r="G307" s="6" t="s">
        <v>22</v>
      </c>
      <c r="H307" s="6" t="s">
        <v>58</v>
      </c>
      <c r="I307" s="6">
        <v>3</v>
      </c>
      <c r="J307" s="8">
        <v>91800</v>
      </c>
      <c r="K307" s="9">
        <v>0.05</v>
      </c>
      <c r="L307" s="10">
        <v>261630</v>
      </c>
      <c r="M307" s="6">
        <v>165000</v>
      </c>
      <c r="N307" s="6">
        <v>96630</v>
      </c>
      <c r="O307" s="6" t="s">
        <v>31</v>
      </c>
      <c r="P307" s="6" t="s">
        <v>63</v>
      </c>
      <c r="Q307" s="6" t="s">
        <v>26</v>
      </c>
    </row>
    <row r="308" spans="1:17" x14ac:dyDescent="0.3">
      <c r="A308" s="6" t="s">
        <v>739</v>
      </c>
      <c r="B308" s="7">
        <v>45837</v>
      </c>
      <c r="C308" s="6" t="s">
        <v>190</v>
      </c>
      <c r="D308" s="6" t="s">
        <v>191</v>
      </c>
      <c r="E308" s="6" t="s">
        <v>20</v>
      </c>
      <c r="F308" s="6" t="s">
        <v>21</v>
      </c>
      <c r="G308" s="6" t="s">
        <v>78</v>
      </c>
      <c r="H308" s="6" t="s">
        <v>115</v>
      </c>
      <c r="I308" s="6">
        <v>1</v>
      </c>
      <c r="J308" s="8">
        <v>90600</v>
      </c>
      <c r="K308" s="9">
        <v>0.08</v>
      </c>
      <c r="L308" s="10">
        <v>83352</v>
      </c>
      <c r="M308" s="6">
        <v>58000</v>
      </c>
      <c r="N308" s="6">
        <v>25352</v>
      </c>
      <c r="O308" s="6" t="s">
        <v>68</v>
      </c>
      <c r="P308" s="6" t="s">
        <v>54</v>
      </c>
      <c r="Q308" s="6" t="s">
        <v>26</v>
      </c>
    </row>
    <row r="309" spans="1:17" x14ac:dyDescent="0.3">
      <c r="A309" s="6" t="s">
        <v>740</v>
      </c>
      <c r="B309" s="7">
        <v>45839</v>
      </c>
      <c r="C309" s="6" t="s">
        <v>290</v>
      </c>
      <c r="D309" s="6" t="s">
        <v>291</v>
      </c>
      <c r="E309" s="6" t="s">
        <v>30</v>
      </c>
      <c r="F309" s="6" t="s">
        <v>222</v>
      </c>
      <c r="G309" s="6" t="s">
        <v>78</v>
      </c>
      <c r="H309" s="6" t="s">
        <v>318</v>
      </c>
      <c r="I309" s="6">
        <v>6</v>
      </c>
      <c r="J309" s="8">
        <v>74900</v>
      </c>
      <c r="K309" s="9">
        <v>0</v>
      </c>
      <c r="L309" s="10">
        <v>449400</v>
      </c>
      <c r="M309" s="6">
        <v>258000</v>
      </c>
      <c r="N309" s="6">
        <v>191400</v>
      </c>
      <c r="O309" s="6" t="s">
        <v>68</v>
      </c>
      <c r="P309" s="6" t="s">
        <v>54</v>
      </c>
      <c r="Q309" s="6" t="s">
        <v>26</v>
      </c>
    </row>
    <row r="310" spans="1:17" x14ac:dyDescent="0.3">
      <c r="A310" s="6" t="s">
        <v>741</v>
      </c>
      <c r="B310" s="7">
        <v>45840</v>
      </c>
      <c r="C310" s="6" t="s">
        <v>349</v>
      </c>
      <c r="D310" s="6" t="s">
        <v>350</v>
      </c>
      <c r="E310" s="6" t="s">
        <v>20</v>
      </c>
      <c r="F310" s="6" t="s">
        <v>21</v>
      </c>
      <c r="G310" s="6" t="s">
        <v>78</v>
      </c>
      <c r="H310" s="6" t="s">
        <v>188</v>
      </c>
      <c r="I310" s="6">
        <v>7</v>
      </c>
      <c r="J310" s="8">
        <v>86800</v>
      </c>
      <c r="K310" s="9">
        <v>0.08</v>
      </c>
      <c r="L310" s="10">
        <v>558992</v>
      </c>
      <c r="M310" s="6">
        <v>364000</v>
      </c>
      <c r="N310" s="6">
        <v>194992</v>
      </c>
      <c r="O310" s="6" t="s">
        <v>104</v>
      </c>
      <c r="P310" s="6" t="s">
        <v>163</v>
      </c>
      <c r="Q310" s="6" t="s">
        <v>26</v>
      </c>
    </row>
    <row r="311" spans="1:17" x14ac:dyDescent="0.3">
      <c r="A311" s="6" t="s">
        <v>742</v>
      </c>
      <c r="B311" s="7">
        <v>45840</v>
      </c>
      <c r="C311" s="6" t="s">
        <v>327</v>
      </c>
      <c r="D311" s="6" t="s">
        <v>328</v>
      </c>
      <c r="E311" s="6" t="s">
        <v>36</v>
      </c>
      <c r="F311" s="6" t="s">
        <v>155</v>
      </c>
      <c r="G311" s="6" t="s">
        <v>22</v>
      </c>
      <c r="H311" s="6" t="s">
        <v>58</v>
      </c>
      <c r="I311" s="6">
        <v>4</v>
      </c>
      <c r="J311" s="8">
        <v>90200</v>
      </c>
      <c r="K311" s="9">
        <v>0.02</v>
      </c>
      <c r="L311" s="10">
        <v>-353584</v>
      </c>
      <c r="M311" s="6">
        <v>-220000</v>
      </c>
      <c r="N311" s="6">
        <v>-133584</v>
      </c>
      <c r="O311" s="6" t="s">
        <v>104</v>
      </c>
      <c r="P311" s="6" t="s">
        <v>119</v>
      </c>
      <c r="Q311" s="6" t="s">
        <v>105</v>
      </c>
    </row>
    <row r="312" spans="1:17" x14ac:dyDescent="0.3">
      <c r="A312" s="6" t="s">
        <v>743</v>
      </c>
      <c r="B312" s="7">
        <v>45843</v>
      </c>
      <c r="C312" s="6" t="s">
        <v>744</v>
      </c>
      <c r="D312" s="6" t="s">
        <v>745</v>
      </c>
      <c r="E312" s="6" t="s">
        <v>20</v>
      </c>
      <c r="F312" s="6" t="s">
        <v>123</v>
      </c>
      <c r="G312" s="6" t="s">
        <v>44</v>
      </c>
      <c r="H312" s="6" t="s">
        <v>73</v>
      </c>
      <c r="I312" s="6">
        <v>1</v>
      </c>
      <c r="J312" s="8">
        <v>286700</v>
      </c>
      <c r="K312" s="9">
        <v>0.08</v>
      </c>
      <c r="L312" s="10">
        <v>263764</v>
      </c>
      <c r="M312" s="6">
        <v>210000</v>
      </c>
      <c r="N312" s="6">
        <v>53764</v>
      </c>
      <c r="O312" s="6" t="s">
        <v>40</v>
      </c>
      <c r="P312" s="6" t="s">
        <v>32</v>
      </c>
      <c r="Q312" s="6" t="s">
        <v>26</v>
      </c>
    </row>
    <row r="313" spans="1:17" x14ac:dyDescent="0.3">
      <c r="A313" s="6" t="s">
        <v>746</v>
      </c>
      <c r="B313" s="7">
        <v>45845</v>
      </c>
      <c r="C313" s="6" t="s">
        <v>446</v>
      </c>
      <c r="D313" s="6" t="s">
        <v>447</v>
      </c>
      <c r="E313" s="6" t="s">
        <v>20</v>
      </c>
      <c r="F313" s="6" t="s">
        <v>20</v>
      </c>
      <c r="G313" s="6" t="s">
        <v>38</v>
      </c>
      <c r="H313" s="6" t="s">
        <v>214</v>
      </c>
      <c r="I313" s="6">
        <v>2</v>
      </c>
      <c r="J313" s="8">
        <v>42900</v>
      </c>
      <c r="K313" s="9">
        <v>0</v>
      </c>
      <c r="L313" s="10">
        <v>85800</v>
      </c>
      <c r="M313" s="6">
        <v>52000</v>
      </c>
      <c r="N313" s="6">
        <v>33800</v>
      </c>
      <c r="O313" s="6" t="s">
        <v>31</v>
      </c>
      <c r="P313" s="6" t="s">
        <v>32</v>
      </c>
      <c r="Q313" s="6" t="s">
        <v>26</v>
      </c>
    </row>
    <row r="314" spans="1:17" x14ac:dyDescent="0.3">
      <c r="A314" s="6" t="s">
        <v>747</v>
      </c>
      <c r="B314" s="7">
        <v>45845</v>
      </c>
      <c r="C314" s="6" t="s">
        <v>748</v>
      </c>
      <c r="D314" s="6" t="s">
        <v>749</v>
      </c>
      <c r="E314" s="6" t="s">
        <v>20</v>
      </c>
      <c r="F314" s="6" t="s">
        <v>20</v>
      </c>
      <c r="G314" s="6" t="s">
        <v>22</v>
      </c>
      <c r="H314" s="6" t="s">
        <v>58</v>
      </c>
      <c r="I314" s="6">
        <v>7</v>
      </c>
      <c r="J314" s="8">
        <v>90700</v>
      </c>
      <c r="K314" s="9">
        <v>0</v>
      </c>
      <c r="L314" s="10">
        <v>634900</v>
      </c>
      <c r="M314" s="6">
        <v>385000</v>
      </c>
      <c r="N314" s="6">
        <v>249900</v>
      </c>
      <c r="O314" s="6" t="s">
        <v>31</v>
      </c>
      <c r="P314" s="6" t="s">
        <v>163</v>
      </c>
      <c r="Q314" s="6" t="s">
        <v>26</v>
      </c>
    </row>
    <row r="315" spans="1:17" x14ac:dyDescent="0.3">
      <c r="A315" s="6" t="s">
        <v>750</v>
      </c>
      <c r="B315" s="7">
        <v>45845</v>
      </c>
      <c r="C315" s="6" t="s">
        <v>431</v>
      </c>
      <c r="D315" s="6" t="s">
        <v>432</v>
      </c>
      <c r="E315" s="6" t="s">
        <v>36</v>
      </c>
      <c r="F315" s="6" t="s">
        <v>155</v>
      </c>
      <c r="G315" s="6" t="s">
        <v>38</v>
      </c>
      <c r="H315" s="6" t="s">
        <v>127</v>
      </c>
      <c r="I315" s="6">
        <v>7</v>
      </c>
      <c r="J315" s="8">
        <v>256600</v>
      </c>
      <c r="K315" s="9">
        <v>0.08</v>
      </c>
      <c r="L315" s="10">
        <v>1652504</v>
      </c>
      <c r="M315" s="6">
        <v>1155000</v>
      </c>
      <c r="N315" s="6">
        <v>497504</v>
      </c>
      <c r="O315" s="6" t="s">
        <v>24</v>
      </c>
      <c r="P315" s="6" t="s">
        <v>63</v>
      </c>
      <c r="Q315" s="6" t="s">
        <v>26</v>
      </c>
    </row>
    <row r="316" spans="1:17" x14ac:dyDescent="0.3">
      <c r="A316" s="6" t="s">
        <v>751</v>
      </c>
      <c r="B316" s="7">
        <v>45845</v>
      </c>
      <c r="C316" s="6" t="s">
        <v>752</v>
      </c>
      <c r="D316" s="6" t="s">
        <v>753</v>
      </c>
      <c r="E316" s="6" t="s">
        <v>30</v>
      </c>
      <c r="F316" s="6" t="s">
        <v>159</v>
      </c>
      <c r="G316" s="6" t="s">
        <v>78</v>
      </c>
      <c r="H316" s="6" t="s">
        <v>318</v>
      </c>
      <c r="I316" s="6">
        <v>2</v>
      </c>
      <c r="J316" s="8">
        <v>70300</v>
      </c>
      <c r="K316" s="9">
        <v>0.02</v>
      </c>
      <c r="L316" s="10">
        <v>137788</v>
      </c>
      <c r="M316" s="6">
        <v>86000</v>
      </c>
      <c r="N316" s="6">
        <v>51788</v>
      </c>
      <c r="O316" s="6" t="s">
        <v>24</v>
      </c>
      <c r="P316" s="6" t="s">
        <v>74</v>
      </c>
      <c r="Q316" s="6" t="s">
        <v>26</v>
      </c>
    </row>
    <row r="317" spans="1:17" x14ac:dyDescent="0.3">
      <c r="A317" s="6" t="s">
        <v>754</v>
      </c>
      <c r="B317" s="7">
        <v>45846</v>
      </c>
      <c r="C317" s="6" t="s">
        <v>755</v>
      </c>
      <c r="D317" s="6" t="s">
        <v>756</v>
      </c>
      <c r="E317" s="6" t="s">
        <v>20</v>
      </c>
      <c r="F317" s="6" t="s">
        <v>21</v>
      </c>
      <c r="G317" s="6" t="s">
        <v>22</v>
      </c>
      <c r="H317" s="6" t="s">
        <v>83</v>
      </c>
      <c r="I317" s="6">
        <v>7</v>
      </c>
      <c r="J317" s="8">
        <v>676200</v>
      </c>
      <c r="K317" s="9">
        <v>0.08</v>
      </c>
      <c r="L317" s="10">
        <v>-4354728</v>
      </c>
      <c r="M317" s="6">
        <v>-3290000</v>
      </c>
      <c r="N317" s="6">
        <v>-1064728</v>
      </c>
      <c r="O317" s="6" t="s">
        <v>104</v>
      </c>
      <c r="P317" s="6" t="s">
        <v>90</v>
      </c>
      <c r="Q317" s="6" t="s">
        <v>105</v>
      </c>
    </row>
    <row r="318" spans="1:17" x14ac:dyDescent="0.3">
      <c r="A318" s="6" t="s">
        <v>757</v>
      </c>
      <c r="B318" s="7">
        <v>45846</v>
      </c>
      <c r="C318" s="6" t="s">
        <v>442</v>
      </c>
      <c r="D318" s="6" t="s">
        <v>443</v>
      </c>
      <c r="E318" s="6" t="s">
        <v>30</v>
      </c>
      <c r="F318" s="6" t="s">
        <v>159</v>
      </c>
      <c r="G318" s="6" t="s">
        <v>38</v>
      </c>
      <c r="H318" s="6" t="s">
        <v>214</v>
      </c>
      <c r="I318" s="6">
        <v>3</v>
      </c>
      <c r="J318" s="8">
        <v>44400</v>
      </c>
      <c r="K318" s="9">
        <v>0.05</v>
      </c>
      <c r="L318" s="10">
        <v>126540</v>
      </c>
      <c r="M318" s="6">
        <v>78000</v>
      </c>
      <c r="N318" s="6">
        <v>48540</v>
      </c>
      <c r="O318" s="6" t="s">
        <v>40</v>
      </c>
      <c r="P318" s="6" t="s">
        <v>32</v>
      </c>
      <c r="Q318" s="6" t="s">
        <v>26</v>
      </c>
    </row>
    <row r="319" spans="1:17" x14ac:dyDescent="0.3">
      <c r="A319" s="6" t="s">
        <v>758</v>
      </c>
      <c r="B319" s="7">
        <v>45846</v>
      </c>
      <c r="C319" s="6" t="s">
        <v>399</v>
      </c>
      <c r="D319" s="6" t="s">
        <v>400</v>
      </c>
      <c r="E319" s="6" t="s">
        <v>30</v>
      </c>
      <c r="F319" s="6" t="s">
        <v>30</v>
      </c>
      <c r="G319" s="6" t="s">
        <v>44</v>
      </c>
      <c r="H319" s="6" t="s">
        <v>89</v>
      </c>
      <c r="I319" s="6">
        <v>4</v>
      </c>
      <c r="J319" s="8">
        <v>170000</v>
      </c>
      <c r="K319" s="9">
        <v>0.1</v>
      </c>
      <c r="L319" s="10">
        <v>612000</v>
      </c>
      <c r="M319" s="6">
        <v>460000</v>
      </c>
      <c r="N319" s="6">
        <v>152000</v>
      </c>
      <c r="O319" s="6" t="s">
        <v>24</v>
      </c>
      <c r="P319" s="6" t="s">
        <v>119</v>
      </c>
      <c r="Q319" s="6" t="s">
        <v>26</v>
      </c>
    </row>
    <row r="320" spans="1:17" x14ac:dyDescent="0.3">
      <c r="A320" s="6" t="s">
        <v>759</v>
      </c>
      <c r="B320" s="7">
        <v>45846</v>
      </c>
      <c r="C320" s="6" t="s">
        <v>186</v>
      </c>
      <c r="D320" s="6" t="s">
        <v>187</v>
      </c>
      <c r="E320" s="6" t="s">
        <v>87</v>
      </c>
      <c r="F320" s="6" t="s">
        <v>88</v>
      </c>
      <c r="G320" s="6" t="s">
        <v>22</v>
      </c>
      <c r="H320" s="6" t="s">
        <v>83</v>
      </c>
      <c r="I320" s="6">
        <v>2</v>
      </c>
      <c r="J320" s="8">
        <v>665100</v>
      </c>
      <c r="K320" s="9">
        <v>0.02</v>
      </c>
      <c r="L320" s="10">
        <v>1303596</v>
      </c>
      <c r="M320" s="6">
        <v>940000</v>
      </c>
      <c r="N320" s="6">
        <v>363596</v>
      </c>
      <c r="O320" s="6" t="s">
        <v>31</v>
      </c>
      <c r="P320" s="6" t="s">
        <v>74</v>
      </c>
      <c r="Q320" s="6" t="s">
        <v>26</v>
      </c>
    </row>
    <row r="321" spans="1:17" x14ac:dyDescent="0.3">
      <c r="A321" s="6" t="s">
        <v>760</v>
      </c>
      <c r="B321" s="7">
        <v>45846</v>
      </c>
      <c r="C321" s="6" t="s">
        <v>271</v>
      </c>
      <c r="D321" s="6" t="s">
        <v>272</v>
      </c>
      <c r="E321" s="6" t="s">
        <v>30</v>
      </c>
      <c r="F321" s="6" t="s">
        <v>30</v>
      </c>
      <c r="G321" s="6" t="s">
        <v>22</v>
      </c>
      <c r="H321" s="6" t="s">
        <v>83</v>
      </c>
      <c r="I321" s="6">
        <v>6</v>
      </c>
      <c r="J321" s="8">
        <v>668100</v>
      </c>
      <c r="K321" s="9">
        <v>0.05</v>
      </c>
      <c r="L321" s="10">
        <v>3808170</v>
      </c>
      <c r="M321" s="6">
        <v>2820000</v>
      </c>
      <c r="N321" s="6">
        <v>988170</v>
      </c>
      <c r="O321" s="6" t="s">
        <v>24</v>
      </c>
      <c r="P321" s="6" t="s">
        <v>32</v>
      </c>
      <c r="Q321" s="6" t="s">
        <v>26</v>
      </c>
    </row>
    <row r="322" spans="1:17" x14ac:dyDescent="0.3">
      <c r="A322" s="6" t="s">
        <v>761</v>
      </c>
      <c r="B322" s="7">
        <v>45848</v>
      </c>
      <c r="C322" s="6" t="s">
        <v>716</v>
      </c>
      <c r="D322" s="6" t="s">
        <v>717</v>
      </c>
      <c r="E322" s="6" t="s">
        <v>30</v>
      </c>
      <c r="F322" s="6" t="s">
        <v>159</v>
      </c>
      <c r="G322" s="6" t="s">
        <v>38</v>
      </c>
      <c r="H322" s="6" t="s">
        <v>127</v>
      </c>
      <c r="I322" s="6">
        <v>1</v>
      </c>
      <c r="J322" s="8">
        <v>241000</v>
      </c>
      <c r="K322" s="9">
        <v>0.08</v>
      </c>
      <c r="L322" s="10">
        <v>221720</v>
      </c>
      <c r="M322" s="6">
        <v>165000</v>
      </c>
      <c r="N322" s="6">
        <v>56720</v>
      </c>
      <c r="O322" s="6" t="s">
        <v>104</v>
      </c>
      <c r="P322" s="6" t="s">
        <v>25</v>
      </c>
      <c r="Q322" s="6" t="s">
        <v>26</v>
      </c>
    </row>
    <row r="323" spans="1:17" x14ac:dyDescent="0.3">
      <c r="A323" s="6" t="s">
        <v>762</v>
      </c>
      <c r="B323" s="7">
        <v>45848</v>
      </c>
      <c r="C323" s="6" t="s">
        <v>763</v>
      </c>
      <c r="D323" s="6" t="s">
        <v>764</v>
      </c>
      <c r="E323" s="6" t="s">
        <v>20</v>
      </c>
      <c r="F323" s="6" t="s">
        <v>21</v>
      </c>
      <c r="G323" s="6" t="s">
        <v>22</v>
      </c>
      <c r="H323" s="6" t="s">
        <v>23</v>
      </c>
      <c r="I323" s="6">
        <v>3</v>
      </c>
      <c r="J323" s="8">
        <v>397700</v>
      </c>
      <c r="K323" s="9">
        <v>0</v>
      </c>
      <c r="L323" s="10">
        <v>1193100</v>
      </c>
      <c r="M323" s="6">
        <v>900000</v>
      </c>
      <c r="N323" s="6">
        <v>293100</v>
      </c>
      <c r="O323" s="6" t="s">
        <v>104</v>
      </c>
      <c r="P323" s="6" t="s">
        <v>63</v>
      </c>
      <c r="Q323" s="6" t="s">
        <v>26</v>
      </c>
    </row>
    <row r="324" spans="1:17" x14ac:dyDescent="0.3">
      <c r="A324" s="6" t="s">
        <v>765</v>
      </c>
      <c r="B324" s="7">
        <v>45849</v>
      </c>
      <c r="C324" s="6" t="s">
        <v>766</v>
      </c>
      <c r="D324" s="6" t="s">
        <v>767</v>
      </c>
      <c r="E324" s="6" t="s">
        <v>30</v>
      </c>
      <c r="F324" s="6" t="s">
        <v>222</v>
      </c>
      <c r="G324" s="6" t="s">
        <v>38</v>
      </c>
      <c r="H324" s="6" t="s">
        <v>39</v>
      </c>
      <c r="I324" s="6">
        <v>6</v>
      </c>
      <c r="J324" s="8">
        <v>26600</v>
      </c>
      <c r="K324" s="9">
        <v>0.08</v>
      </c>
      <c r="L324" s="10">
        <v>-146832</v>
      </c>
      <c r="M324" s="6">
        <v>-90000</v>
      </c>
      <c r="N324" s="6">
        <v>-56832</v>
      </c>
      <c r="O324" s="6" t="s">
        <v>24</v>
      </c>
      <c r="P324" s="6" t="s">
        <v>90</v>
      </c>
      <c r="Q324" s="6" t="s">
        <v>105</v>
      </c>
    </row>
    <row r="325" spans="1:17" x14ac:dyDescent="0.3">
      <c r="A325" s="6" t="s">
        <v>768</v>
      </c>
      <c r="B325" s="7">
        <v>45849</v>
      </c>
      <c r="C325" s="6" t="s">
        <v>356</v>
      </c>
      <c r="D325" s="6" t="s">
        <v>357</v>
      </c>
      <c r="E325" s="6" t="s">
        <v>30</v>
      </c>
      <c r="F325" s="6" t="s">
        <v>159</v>
      </c>
      <c r="G325" s="6" t="s">
        <v>22</v>
      </c>
      <c r="H325" s="6" t="s">
        <v>23</v>
      </c>
      <c r="I325" s="6">
        <v>2</v>
      </c>
      <c r="J325" s="8">
        <v>432100</v>
      </c>
      <c r="K325" s="9">
        <v>0.08</v>
      </c>
      <c r="L325" s="10">
        <v>795064</v>
      </c>
      <c r="M325" s="6">
        <v>600000</v>
      </c>
      <c r="N325" s="6">
        <v>195064</v>
      </c>
      <c r="O325" s="6" t="s">
        <v>104</v>
      </c>
      <c r="P325" s="6" t="s">
        <v>63</v>
      </c>
      <c r="Q325" s="6" t="s">
        <v>26</v>
      </c>
    </row>
    <row r="326" spans="1:17" x14ac:dyDescent="0.3">
      <c r="A326" s="6" t="s">
        <v>769</v>
      </c>
      <c r="B326" s="7">
        <v>45853</v>
      </c>
      <c r="C326" s="6" t="s">
        <v>770</v>
      </c>
      <c r="D326" s="6" t="s">
        <v>771</v>
      </c>
      <c r="E326" s="6" t="s">
        <v>67</v>
      </c>
      <c r="F326" s="6" t="s">
        <v>236</v>
      </c>
      <c r="G326" s="6" t="s">
        <v>38</v>
      </c>
      <c r="H326" s="6" t="s">
        <v>39</v>
      </c>
      <c r="I326" s="6">
        <v>4</v>
      </c>
      <c r="J326" s="8">
        <v>26400</v>
      </c>
      <c r="K326" s="9">
        <v>0.15</v>
      </c>
      <c r="L326" s="10">
        <v>89760</v>
      </c>
      <c r="M326" s="6">
        <v>60000</v>
      </c>
      <c r="N326" s="6">
        <v>29760</v>
      </c>
      <c r="O326" s="6" t="s">
        <v>104</v>
      </c>
      <c r="P326" s="6" t="s">
        <v>32</v>
      </c>
      <c r="Q326" s="6" t="s">
        <v>26</v>
      </c>
    </row>
    <row r="327" spans="1:17" x14ac:dyDescent="0.3">
      <c r="A327" s="6" t="s">
        <v>772</v>
      </c>
      <c r="B327" s="7">
        <v>45853</v>
      </c>
      <c r="C327" s="6" t="s">
        <v>250</v>
      </c>
      <c r="D327" s="6" t="s">
        <v>251</v>
      </c>
      <c r="E327" s="6" t="s">
        <v>20</v>
      </c>
      <c r="F327" s="6" t="s">
        <v>123</v>
      </c>
      <c r="G327" s="6" t="s">
        <v>78</v>
      </c>
      <c r="H327" s="6" t="s">
        <v>115</v>
      </c>
      <c r="I327" s="6">
        <v>4</v>
      </c>
      <c r="J327" s="8">
        <v>82900</v>
      </c>
      <c r="K327" s="9">
        <v>0</v>
      </c>
      <c r="L327" s="10">
        <v>331600</v>
      </c>
      <c r="M327" s="6">
        <v>232000</v>
      </c>
      <c r="N327" s="6">
        <v>99600</v>
      </c>
      <c r="O327" s="6" t="s">
        <v>40</v>
      </c>
      <c r="P327" s="6" t="s">
        <v>119</v>
      </c>
      <c r="Q327" s="6" t="s">
        <v>26</v>
      </c>
    </row>
    <row r="328" spans="1:17" x14ac:dyDescent="0.3">
      <c r="A328" s="6" t="s">
        <v>773</v>
      </c>
      <c r="B328" s="7">
        <v>45853</v>
      </c>
      <c r="C328" s="6" t="s">
        <v>428</v>
      </c>
      <c r="D328" s="6" t="s">
        <v>429</v>
      </c>
      <c r="E328" s="6" t="s">
        <v>20</v>
      </c>
      <c r="F328" s="6" t="s">
        <v>20</v>
      </c>
      <c r="G328" s="6" t="s">
        <v>22</v>
      </c>
      <c r="H328" s="6" t="s">
        <v>83</v>
      </c>
      <c r="I328" s="6">
        <v>4</v>
      </c>
      <c r="J328" s="8">
        <v>695300</v>
      </c>
      <c r="K328" s="9">
        <v>0.05</v>
      </c>
      <c r="L328" s="10">
        <v>2642140</v>
      </c>
      <c r="M328" s="6">
        <v>1880000</v>
      </c>
      <c r="N328" s="6">
        <v>762140</v>
      </c>
      <c r="O328" s="6" t="s">
        <v>31</v>
      </c>
      <c r="P328" s="6" t="s">
        <v>163</v>
      </c>
      <c r="Q328" s="6" t="s">
        <v>26</v>
      </c>
    </row>
    <row r="329" spans="1:17" x14ac:dyDescent="0.3">
      <c r="A329" s="6" t="s">
        <v>774</v>
      </c>
      <c r="B329" s="7">
        <v>45853</v>
      </c>
      <c r="C329" s="6" t="s">
        <v>610</v>
      </c>
      <c r="D329" s="6" t="s">
        <v>611</v>
      </c>
      <c r="E329" s="6" t="s">
        <v>36</v>
      </c>
      <c r="F329" s="6" t="s">
        <v>36</v>
      </c>
      <c r="G329" s="6" t="s">
        <v>44</v>
      </c>
      <c r="H329" s="6" t="s">
        <v>45</v>
      </c>
      <c r="I329" s="6">
        <v>7</v>
      </c>
      <c r="J329" s="8">
        <v>519700</v>
      </c>
      <c r="K329" s="9">
        <v>0</v>
      </c>
      <c r="L329" s="10">
        <v>3637900</v>
      </c>
      <c r="M329" s="6">
        <v>2555000</v>
      </c>
      <c r="N329" s="6">
        <v>1082900</v>
      </c>
      <c r="O329" s="6" t="s">
        <v>31</v>
      </c>
      <c r="P329" s="6" t="s">
        <v>163</v>
      </c>
      <c r="Q329" s="6" t="s">
        <v>26</v>
      </c>
    </row>
    <row r="330" spans="1:17" x14ac:dyDescent="0.3">
      <c r="A330" s="6" t="s">
        <v>775</v>
      </c>
      <c r="B330" s="7">
        <v>45854</v>
      </c>
      <c r="C330" s="6" t="s">
        <v>18</v>
      </c>
      <c r="D330" s="6" t="s">
        <v>19</v>
      </c>
      <c r="E330" s="6" t="s">
        <v>87</v>
      </c>
      <c r="F330" s="6" t="s">
        <v>88</v>
      </c>
      <c r="G330" s="6" t="s">
        <v>44</v>
      </c>
      <c r="H330" s="6" t="s">
        <v>89</v>
      </c>
      <c r="I330" s="6">
        <v>5</v>
      </c>
      <c r="J330" s="8">
        <v>185100</v>
      </c>
      <c r="K330" s="9">
        <v>0.02</v>
      </c>
      <c r="L330" s="10">
        <v>-906990</v>
      </c>
      <c r="M330" s="6">
        <v>-575000</v>
      </c>
      <c r="N330" s="6">
        <v>-331990</v>
      </c>
      <c r="O330" s="6" t="s">
        <v>24</v>
      </c>
      <c r="P330" s="6" t="s">
        <v>90</v>
      </c>
      <c r="Q330" s="6" t="s">
        <v>105</v>
      </c>
    </row>
    <row r="331" spans="1:17" x14ac:dyDescent="0.3">
      <c r="A331" s="6" t="s">
        <v>776</v>
      </c>
      <c r="B331" s="7">
        <v>45855</v>
      </c>
      <c r="C331" s="6" t="s">
        <v>557</v>
      </c>
      <c r="D331" s="6" t="s">
        <v>558</v>
      </c>
      <c r="E331" s="6" t="s">
        <v>87</v>
      </c>
      <c r="F331" s="6" t="s">
        <v>135</v>
      </c>
      <c r="G331" s="6" t="s">
        <v>44</v>
      </c>
      <c r="H331" s="6" t="s">
        <v>89</v>
      </c>
      <c r="I331" s="6">
        <v>4</v>
      </c>
      <c r="J331" s="8">
        <v>188500</v>
      </c>
      <c r="K331" s="9">
        <v>0.05</v>
      </c>
      <c r="L331" s="10">
        <v>716300</v>
      </c>
      <c r="M331" s="6">
        <v>460000</v>
      </c>
      <c r="N331" s="6">
        <v>256300</v>
      </c>
      <c r="O331" s="6" t="s">
        <v>104</v>
      </c>
      <c r="P331" s="6" t="s">
        <v>119</v>
      </c>
      <c r="Q331" s="6" t="s">
        <v>26</v>
      </c>
    </row>
    <row r="332" spans="1:17" x14ac:dyDescent="0.3">
      <c r="A332" s="6" t="s">
        <v>777</v>
      </c>
      <c r="B332" s="7">
        <v>45855</v>
      </c>
      <c r="C332" s="6" t="s">
        <v>778</v>
      </c>
      <c r="D332" s="6" t="s">
        <v>779</v>
      </c>
      <c r="E332" s="6" t="s">
        <v>36</v>
      </c>
      <c r="F332" s="6" t="s">
        <v>36</v>
      </c>
      <c r="G332" s="6" t="s">
        <v>44</v>
      </c>
      <c r="H332" s="6" t="s">
        <v>45</v>
      </c>
      <c r="I332" s="6">
        <v>2</v>
      </c>
      <c r="J332" s="8">
        <v>556300</v>
      </c>
      <c r="K332" s="9">
        <v>0.08</v>
      </c>
      <c r="L332" s="10">
        <v>1023592</v>
      </c>
      <c r="M332" s="6">
        <v>730000</v>
      </c>
      <c r="N332" s="6">
        <v>293592</v>
      </c>
      <c r="O332" s="6" t="s">
        <v>31</v>
      </c>
      <c r="P332" s="6" t="s">
        <v>119</v>
      </c>
      <c r="Q332" s="6" t="s">
        <v>26</v>
      </c>
    </row>
    <row r="333" spans="1:17" x14ac:dyDescent="0.3">
      <c r="A333" s="6" t="s">
        <v>780</v>
      </c>
      <c r="B333" s="7">
        <v>45856</v>
      </c>
      <c r="C333" s="6" t="s">
        <v>300</v>
      </c>
      <c r="D333" s="6" t="s">
        <v>301</v>
      </c>
      <c r="E333" s="6" t="s">
        <v>20</v>
      </c>
      <c r="F333" s="6" t="s">
        <v>20</v>
      </c>
      <c r="G333" s="6" t="s">
        <v>22</v>
      </c>
      <c r="H333" s="6" t="s">
        <v>83</v>
      </c>
      <c r="I333" s="6">
        <v>7</v>
      </c>
      <c r="J333" s="8">
        <v>600600</v>
      </c>
      <c r="K333" s="9">
        <v>0.08</v>
      </c>
      <c r="L333" s="10">
        <v>3867864</v>
      </c>
      <c r="M333" s="6">
        <v>3290000</v>
      </c>
      <c r="N333" s="6">
        <v>577864</v>
      </c>
      <c r="O333" s="6" t="s">
        <v>68</v>
      </c>
      <c r="P333" s="6" t="s">
        <v>119</v>
      </c>
      <c r="Q333" s="6" t="s">
        <v>26</v>
      </c>
    </row>
    <row r="334" spans="1:17" x14ac:dyDescent="0.3">
      <c r="A334" s="6" t="s">
        <v>781</v>
      </c>
      <c r="B334" s="7">
        <v>45856</v>
      </c>
      <c r="C334" s="6" t="s">
        <v>782</v>
      </c>
      <c r="D334" s="6" t="s">
        <v>783</v>
      </c>
      <c r="E334" s="6" t="s">
        <v>20</v>
      </c>
      <c r="F334" s="6" t="s">
        <v>21</v>
      </c>
      <c r="G334" s="6" t="s">
        <v>38</v>
      </c>
      <c r="H334" s="6" t="s">
        <v>214</v>
      </c>
      <c r="I334" s="6">
        <v>6</v>
      </c>
      <c r="J334" s="8">
        <v>44400</v>
      </c>
      <c r="K334" s="9">
        <v>0.05</v>
      </c>
      <c r="L334" s="10">
        <v>253080</v>
      </c>
      <c r="M334" s="6">
        <v>156000</v>
      </c>
      <c r="N334" s="6">
        <v>97080</v>
      </c>
      <c r="O334" s="6" t="s">
        <v>40</v>
      </c>
      <c r="P334" s="6" t="s">
        <v>63</v>
      </c>
      <c r="Q334" s="6" t="s">
        <v>26</v>
      </c>
    </row>
    <row r="335" spans="1:17" x14ac:dyDescent="0.3">
      <c r="A335" s="6" t="s">
        <v>784</v>
      </c>
      <c r="B335" s="7">
        <v>45856</v>
      </c>
      <c r="C335" s="6" t="s">
        <v>121</v>
      </c>
      <c r="D335" s="6" t="s">
        <v>122</v>
      </c>
      <c r="E335" s="6" t="s">
        <v>36</v>
      </c>
      <c r="F335" s="6" t="s">
        <v>155</v>
      </c>
      <c r="G335" s="6" t="s">
        <v>44</v>
      </c>
      <c r="H335" s="6" t="s">
        <v>73</v>
      </c>
      <c r="I335" s="6">
        <v>5</v>
      </c>
      <c r="J335" s="8">
        <v>309200</v>
      </c>
      <c r="K335" s="9">
        <v>0</v>
      </c>
      <c r="L335" s="10">
        <v>1546000</v>
      </c>
      <c r="M335" s="6">
        <v>1050000</v>
      </c>
      <c r="N335" s="6">
        <v>496000</v>
      </c>
      <c r="O335" s="6" t="s">
        <v>40</v>
      </c>
      <c r="P335" s="6" t="s">
        <v>25</v>
      </c>
      <c r="Q335" s="6" t="s">
        <v>26</v>
      </c>
    </row>
    <row r="336" spans="1:17" x14ac:dyDescent="0.3">
      <c r="A336" s="6" t="s">
        <v>785</v>
      </c>
      <c r="B336" s="7">
        <v>45857</v>
      </c>
      <c r="C336" s="6" t="s">
        <v>146</v>
      </c>
      <c r="D336" s="6" t="s">
        <v>147</v>
      </c>
      <c r="E336" s="6" t="s">
        <v>87</v>
      </c>
      <c r="F336" s="6" t="s">
        <v>135</v>
      </c>
      <c r="G336" s="6" t="s">
        <v>38</v>
      </c>
      <c r="H336" s="6" t="s">
        <v>214</v>
      </c>
      <c r="I336" s="6">
        <v>4</v>
      </c>
      <c r="J336" s="8">
        <v>46400</v>
      </c>
      <c r="K336" s="9">
        <v>0.1</v>
      </c>
      <c r="L336" s="10">
        <v>167040</v>
      </c>
      <c r="M336" s="6">
        <v>104000</v>
      </c>
      <c r="N336" s="6">
        <v>63040</v>
      </c>
      <c r="O336" s="6" t="s">
        <v>24</v>
      </c>
      <c r="P336" s="6" t="s">
        <v>25</v>
      </c>
      <c r="Q336" s="6" t="s">
        <v>26</v>
      </c>
    </row>
    <row r="337" spans="1:17" x14ac:dyDescent="0.3">
      <c r="A337" s="6" t="s">
        <v>786</v>
      </c>
      <c r="B337" s="7">
        <v>45858</v>
      </c>
      <c r="C337" s="6" t="s">
        <v>290</v>
      </c>
      <c r="D337" s="6" t="s">
        <v>291</v>
      </c>
      <c r="E337" s="6" t="s">
        <v>20</v>
      </c>
      <c r="F337" s="6" t="s">
        <v>21</v>
      </c>
      <c r="G337" s="6" t="s">
        <v>44</v>
      </c>
      <c r="H337" s="6" t="s">
        <v>45</v>
      </c>
      <c r="I337" s="6">
        <v>4</v>
      </c>
      <c r="J337" s="8">
        <v>505500</v>
      </c>
      <c r="K337" s="9">
        <v>0.02</v>
      </c>
      <c r="L337" s="10">
        <v>1981560</v>
      </c>
      <c r="M337" s="6">
        <v>1460000</v>
      </c>
      <c r="N337" s="6">
        <v>521560</v>
      </c>
      <c r="O337" s="6" t="s">
        <v>104</v>
      </c>
      <c r="P337" s="6" t="s">
        <v>32</v>
      </c>
      <c r="Q337" s="6" t="s">
        <v>26</v>
      </c>
    </row>
    <row r="338" spans="1:17" x14ac:dyDescent="0.3">
      <c r="A338" s="6" t="s">
        <v>787</v>
      </c>
      <c r="B338" s="7">
        <v>45858</v>
      </c>
      <c r="C338" s="6" t="s">
        <v>446</v>
      </c>
      <c r="D338" s="6" t="s">
        <v>447</v>
      </c>
      <c r="E338" s="6" t="s">
        <v>30</v>
      </c>
      <c r="F338" s="6" t="s">
        <v>222</v>
      </c>
      <c r="G338" s="6" t="s">
        <v>22</v>
      </c>
      <c r="H338" s="6" t="s">
        <v>23</v>
      </c>
      <c r="I338" s="6">
        <v>7</v>
      </c>
      <c r="J338" s="8">
        <v>431300</v>
      </c>
      <c r="K338" s="9">
        <v>0.08</v>
      </c>
      <c r="L338" s="10">
        <v>2777572</v>
      </c>
      <c r="M338" s="6">
        <v>2100000</v>
      </c>
      <c r="N338" s="6">
        <v>677572</v>
      </c>
      <c r="O338" s="6" t="s">
        <v>104</v>
      </c>
      <c r="P338" s="6" t="s">
        <v>90</v>
      </c>
      <c r="Q338" s="6" t="s">
        <v>26</v>
      </c>
    </row>
    <row r="339" spans="1:17" x14ac:dyDescent="0.3">
      <c r="A339" s="6" t="s">
        <v>788</v>
      </c>
      <c r="B339" s="7">
        <v>45858</v>
      </c>
      <c r="C339" s="6" t="s">
        <v>475</v>
      </c>
      <c r="D339" s="6" t="s">
        <v>476</v>
      </c>
      <c r="E339" s="6" t="s">
        <v>87</v>
      </c>
      <c r="F339" s="6" t="s">
        <v>135</v>
      </c>
      <c r="G339" s="6" t="s">
        <v>44</v>
      </c>
      <c r="H339" s="6" t="s">
        <v>73</v>
      </c>
      <c r="I339" s="6">
        <v>5</v>
      </c>
      <c r="J339" s="8">
        <v>319600</v>
      </c>
      <c r="K339" s="9">
        <v>0</v>
      </c>
      <c r="L339" s="10">
        <v>-1598000</v>
      </c>
      <c r="M339" s="6">
        <v>-1050000</v>
      </c>
      <c r="N339" s="6">
        <v>-548000</v>
      </c>
      <c r="O339" s="6" t="s">
        <v>40</v>
      </c>
      <c r="P339" s="6" t="s">
        <v>25</v>
      </c>
      <c r="Q339" s="6" t="s">
        <v>105</v>
      </c>
    </row>
    <row r="340" spans="1:17" x14ac:dyDescent="0.3">
      <c r="A340" s="6" t="s">
        <v>789</v>
      </c>
      <c r="B340" s="7">
        <v>45859</v>
      </c>
      <c r="C340" s="6" t="s">
        <v>607</v>
      </c>
      <c r="D340" s="6" t="s">
        <v>608</v>
      </c>
      <c r="E340" s="6" t="s">
        <v>67</v>
      </c>
      <c r="F340" s="6" t="s">
        <v>100</v>
      </c>
      <c r="G340" s="6" t="s">
        <v>38</v>
      </c>
      <c r="H340" s="6" t="s">
        <v>53</v>
      </c>
      <c r="I340" s="6">
        <v>7</v>
      </c>
      <c r="J340" s="8">
        <v>385300</v>
      </c>
      <c r="K340" s="9">
        <v>0</v>
      </c>
      <c r="L340" s="10">
        <v>2697100</v>
      </c>
      <c r="M340" s="6">
        <v>1960000</v>
      </c>
      <c r="N340" s="6">
        <v>737100</v>
      </c>
      <c r="O340" s="6" t="s">
        <v>68</v>
      </c>
      <c r="P340" s="6" t="s">
        <v>74</v>
      </c>
      <c r="Q340" s="6" t="s">
        <v>26</v>
      </c>
    </row>
    <row r="341" spans="1:17" x14ac:dyDescent="0.3">
      <c r="A341" s="6" t="s">
        <v>790</v>
      </c>
      <c r="B341" s="7">
        <v>45859</v>
      </c>
      <c r="C341" s="6" t="s">
        <v>791</v>
      </c>
      <c r="D341" s="6" t="s">
        <v>792</v>
      </c>
      <c r="E341" s="6" t="s">
        <v>30</v>
      </c>
      <c r="F341" s="6" t="s">
        <v>159</v>
      </c>
      <c r="G341" s="6" t="s">
        <v>22</v>
      </c>
      <c r="H341" s="6" t="s">
        <v>23</v>
      </c>
      <c r="I341" s="6">
        <v>3</v>
      </c>
      <c r="J341" s="8">
        <v>413900</v>
      </c>
      <c r="K341" s="9">
        <v>0.02</v>
      </c>
      <c r="L341" s="10">
        <v>1216866</v>
      </c>
      <c r="M341" s="6">
        <v>900000</v>
      </c>
      <c r="N341" s="6">
        <v>316866</v>
      </c>
      <c r="O341" s="6" t="s">
        <v>31</v>
      </c>
      <c r="P341" s="6" t="s">
        <v>25</v>
      </c>
      <c r="Q341" s="6" t="s">
        <v>26</v>
      </c>
    </row>
    <row r="342" spans="1:17" x14ac:dyDescent="0.3">
      <c r="A342" s="6" t="s">
        <v>793</v>
      </c>
      <c r="B342" s="7">
        <v>45859</v>
      </c>
      <c r="C342" s="6" t="s">
        <v>356</v>
      </c>
      <c r="D342" s="6" t="s">
        <v>357</v>
      </c>
      <c r="E342" s="6" t="s">
        <v>67</v>
      </c>
      <c r="F342" s="6" t="s">
        <v>100</v>
      </c>
      <c r="G342" s="6" t="s">
        <v>22</v>
      </c>
      <c r="H342" s="6" t="s">
        <v>83</v>
      </c>
      <c r="I342" s="6">
        <v>5</v>
      </c>
      <c r="J342" s="8">
        <v>645900</v>
      </c>
      <c r="K342" s="9">
        <v>0.02</v>
      </c>
      <c r="L342" s="10">
        <v>3164910</v>
      </c>
      <c r="M342" s="6">
        <v>2350000</v>
      </c>
      <c r="N342" s="6">
        <v>814910</v>
      </c>
      <c r="O342" s="6" t="s">
        <v>104</v>
      </c>
      <c r="P342" s="6" t="s">
        <v>32</v>
      </c>
      <c r="Q342" s="6" t="s">
        <v>26</v>
      </c>
    </row>
    <row r="343" spans="1:17" x14ac:dyDescent="0.3">
      <c r="A343" s="6" t="s">
        <v>794</v>
      </c>
      <c r="B343" s="7">
        <v>45860</v>
      </c>
      <c r="C343" s="6" t="s">
        <v>610</v>
      </c>
      <c r="D343" s="6" t="s">
        <v>611</v>
      </c>
      <c r="E343" s="6" t="s">
        <v>87</v>
      </c>
      <c r="F343" s="6" t="s">
        <v>135</v>
      </c>
      <c r="G343" s="6" t="s">
        <v>78</v>
      </c>
      <c r="H343" s="6" t="s">
        <v>79</v>
      </c>
      <c r="I343" s="6">
        <v>2</v>
      </c>
      <c r="J343" s="8">
        <v>33700</v>
      </c>
      <c r="K343" s="9">
        <v>0.08</v>
      </c>
      <c r="L343" s="10">
        <v>62008</v>
      </c>
      <c r="M343" s="6">
        <v>36000</v>
      </c>
      <c r="N343" s="6">
        <v>26008</v>
      </c>
      <c r="O343" s="6" t="s">
        <v>31</v>
      </c>
      <c r="P343" s="6" t="s">
        <v>119</v>
      </c>
      <c r="Q343" s="6" t="s">
        <v>26</v>
      </c>
    </row>
    <row r="344" spans="1:17" x14ac:dyDescent="0.3">
      <c r="A344" s="6" t="s">
        <v>795</v>
      </c>
      <c r="B344" s="7">
        <v>45861</v>
      </c>
      <c r="C344" s="6" t="s">
        <v>796</v>
      </c>
      <c r="D344" s="6" t="s">
        <v>797</v>
      </c>
      <c r="E344" s="6" t="s">
        <v>20</v>
      </c>
      <c r="F344" s="6" t="s">
        <v>123</v>
      </c>
      <c r="G344" s="6" t="s">
        <v>38</v>
      </c>
      <c r="H344" s="6" t="s">
        <v>53</v>
      </c>
      <c r="I344" s="6">
        <v>3</v>
      </c>
      <c r="J344" s="8">
        <v>374300</v>
      </c>
      <c r="K344" s="9">
        <v>0.15</v>
      </c>
      <c r="L344" s="10">
        <v>954465</v>
      </c>
      <c r="M344" s="6">
        <v>840000</v>
      </c>
      <c r="N344" s="6">
        <v>114465</v>
      </c>
      <c r="O344" s="6" t="s">
        <v>68</v>
      </c>
      <c r="P344" s="6" t="s">
        <v>32</v>
      </c>
      <c r="Q344" s="6" t="s">
        <v>26</v>
      </c>
    </row>
    <row r="345" spans="1:17" x14ac:dyDescent="0.3">
      <c r="A345" s="6" t="s">
        <v>798</v>
      </c>
      <c r="B345" s="7">
        <v>45862</v>
      </c>
      <c r="C345" s="6" t="s">
        <v>680</v>
      </c>
      <c r="D345" s="6" t="s">
        <v>681</v>
      </c>
      <c r="E345" s="6" t="s">
        <v>30</v>
      </c>
      <c r="F345" s="6" t="s">
        <v>30</v>
      </c>
      <c r="G345" s="6" t="s">
        <v>22</v>
      </c>
      <c r="H345" s="6" t="s">
        <v>49</v>
      </c>
      <c r="I345" s="6">
        <v>7</v>
      </c>
      <c r="J345" s="8">
        <v>1178600</v>
      </c>
      <c r="K345" s="9">
        <v>0.08</v>
      </c>
      <c r="L345" s="10">
        <v>7590184</v>
      </c>
      <c r="M345" s="6">
        <v>6650000</v>
      </c>
      <c r="N345" s="6">
        <v>940184</v>
      </c>
      <c r="O345" s="6" t="s">
        <v>31</v>
      </c>
      <c r="P345" s="6" t="s">
        <v>90</v>
      </c>
      <c r="Q345" s="6" t="s">
        <v>26</v>
      </c>
    </row>
    <row r="346" spans="1:17" x14ac:dyDescent="0.3">
      <c r="A346" s="6" t="s">
        <v>799</v>
      </c>
      <c r="B346" s="7">
        <v>45862</v>
      </c>
      <c r="C346" s="6" t="s">
        <v>439</v>
      </c>
      <c r="D346" s="6" t="s">
        <v>440</v>
      </c>
      <c r="E346" s="6" t="s">
        <v>36</v>
      </c>
      <c r="F346" s="6" t="s">
        <v>36</v>
      </c>
      <c r="G346" s="6" t="s">
        <v>22</v>
      </c>
      <c r="H346" s="6" t="s">
        <v>83</v>
      </c>
      <c r="I346" s="6">
        <v>3</v>
      </c>
      <c r="J346" s="8">
        <v>651000</v>
      </c>
      <c r="K346" s="9">
        <v>0.05</v>
      </c>
      <c r="L346" s="10">
        <v>1855350</v>
      </c>
      <c r="M346" s="6">
        <v>1410000</v>
      </c>
      <c r="N346" s="6">
        <v>445350</v>
      </c>
      <c r="O346" s="6" t="s">
        <v>68</v>
      </c>
      <c r="P346" s="6" t="s">
        <v>90</v>
      </c>
      <c r="Q346" s="6" t="s">
        <v>26</v>
      </c>
    </row>
    <row r="347" spans="1:17" x14ac:dyDescent="0.3">
      <c r="A347" s="6" t="s">
        <v>800</v>
      </c>
      <c r="B347" s="7">
        <v>45863</v>
      </c>
      <c r="C347" s="6" t="s">
        <v>752</v>
      </c>
      <c r="D347" s="6" t="s">
        <v>753</v>
      </c>
      <c r="E347" s="6" t="s">
        <v>20</v>
      </c>
      <c r="F347" s="6" t="s">
        <v>123</v>
      </c>
      <c r="G347" s="6" t="s">
        <v>44</v>
      </c>
      <c r="H347" s="6" t="s">
        <v>45</v>
      </c>
      <c r="I347" s="6">
        <v>4</v>
      </c>
      <c r="J347" s="8">
        <v>538500</v>
      </c>
      <c r="K347" s="9">
        <v>0.08</v>
      </c>
      <c r="L347" s="10">
        <v>1981680</v>
      </c>
      <c r="M347" s="6">
        <v>1460000</v>
      </c>
      <c r="N347" s="6">
        <v>521680</v>
      </c>
      <c r="O347" s="6" t="s">
        <v>104</v>
      </c>
      <c r="P347" s="6" t="s">
        <v>163</v>
      </c>
      <c r="Q347" s="6" t="s">
        <v>26</v>
      </c>
    </row>
    <row r="348" spans="1:17" x14ac:dyDescent="0.3">
      <c r="A348" s="6" t="s">
        <v>801</v>
      </c>
      <c r="B348" s="7">
        <v>45864</v>
      </c>
      <c r="C348" s="6" t="s">
        <v>365</v>
      </c>
      <c r="D348" s="6" t="s">
        <v>366</v>
      </c>
      <c r="E348" s="6" t="s">
        <v>20</v>
      </c>
      <c r="F348" s="6" t="s">
        <v>62</v>
      </c>
      <c r="G348" s="6" t="s">
        <v>22</v>
      </c>
      <c r="H348" s="6" t="s">
        <v>49</v>
      </c>
      <c r="I348" s="6">
        <v>1</v>
      </c>
      <c r="J348" s="8">
        <v>1316600</v>
      </c>
      <c r="K348" s="9">
        <v>0.1</v>
      </c>
      <c r="L348" s="10">
        <v>1184940</v>
      </c>
      <c r="M348" s="6">
        <v>950000</v>
      </c>
      <c r="N348" s="6">
        <v>234940</v>
      </c>
      <c r="O348" s="6" t="s">
        <v>104</v>
      </c>
      <c r="P348" s="6" t="s">
        <v>90</v>
      </c>
      <c r="Q348" s="6" t="s">
        <v>26</v>
      </c>
    </row>
    <row r="349" spans="1:17" x14ac:dyDescent="0.3">
      <c r="A349" s="6" t="s">
        <v>802</v>
      </c>
      <c r="B349" s="7">
        <v>45864</v>
      </c>
      <c r="C349" s="6" t="s">
        <v>803</v>
      </c>
      <c r="D349" s="6" t="s">
        <v>804</v>
      </c>
      <c r="E349" s="6" t="s">
        <v>20</v>
      </c>
      <c r="F349" s="6" t="s">
        <v>20</v>
      </c>
      <c r="G349" s="6" t="s">
        <v>78</v>
      </c>
      <c r="H349" s="6" t="s">
        <v>318</v>
      </c>
      <c r="I349" s="6">
        <v>7</v>
      </c>
      <c r="J349" s="8">
        <v>71000</v>
      </c>
      <c r="K349" s="9">
        <v>0.02</v>
      </c>
      <c r="L349" s="10">
        <v>487060</v>
      </c>
      <c r="M349" s="6">
        <v>301000</v>
      </c>
      <c r="N349" s="6">
        <v>186060</v>
      </c>
      <c r="O349" s="6" t="s">
        <v>24</v>
      </c>
      <c r="P349" s="6" t="s">
        <v>32</v>
      </c>
      <c r="Q349" s="6" t="s">
        <v>26</v>
      </c>
    </row>
    <row r="350" spans="1:17" x14ac:dyDescent="0.3">
      <c r="A350" s="6" t="s">
        <v>805</v>
      </c>
      <c r="B350" s="7">
        <v>45864</v>
      </c>
      <c r="C350" s="6" t="s">
        <v>806</v>
      </c>
      <c r="D350" s="6" t="s">
        <v>807</v>
      </c>
      <c r="E350" s="6" t="s">
        <v>30</v>
      </c>
      <c r="F350" s="6" t="s">
        <v>30</v>
      </c>
      <c r="G350" s="6" t="s">
        <v>38</v>
      </c>
      <c r="H350" s="6" t="s">
        <v>53</v>
      </c>
      <c r="I350" s="6">
        <v>1</v>
      </c>
      <c r="J350" s="8">
        <v>372000</v>
      </c>
      <c r="K350" s="9">
        <v>0.08</v>
      </c>
      <c r="L350" s="10">
        <v>342240</v>
      </c>
      <c r="M350" s="6">
        <v>280000</v>
      </c>
      <c r="N350" s="6">
        <v>62240</v>
      </c>
      <c r="O350" s="6" t="s">
        <v>68</v>
      </c>
      <c r="P350" s="6" t="s">
        <v>63</v>
      </c>
      <c r="Q350" s="6" t="s">
        <v>26</v>
      </c>
    </row>
    <row r="351" spans="1:17" x14ac:dyDescent="0.3">
      <c r="A351" s="6" t="s">
        <v>808</v>
      </c>
      <c r="B351" s="7">
        <v>45866</v>
      </c>
      <c r="C351" s="6" t="s">
        <v>265</v>
      </c>
      <c r="D351" s="6" t="s">
        <v>266</v>
      </c>
      <c r="E351" s="6" t="s">
        <v>36</v>
      </c>
      <c r="F351" s="6" t="s">
        <v>36</v>
      </c>
      <c r="G351" s="6" t="s">
        <v>38</v>
      </c>
      <c r="H351" s="6" t="s">
        <v>53</v>
      </c>
      <c r="I351" s="6">
        <v>4</v>
      </c>
      <c r="J351" s="8">
        <v>375300</v>
      </c>
      <c r="K351" s="9">
        <v>0.08</v>
      </c>
      <c r="L351" s="10">
        <v>1381104</v>
      </c>
      <c r="M351" s="6">
        <v>1120000</v>
      </c>
      <c r="N351" s="6">
        <v>261104</v>
      </c>
      <c r="O351" s="6" t="s">
        <v>68</v>
      </c>
      <c r="P351" s="6" t="s">
        <v>32</v>
      </c>
      <c r="Q351" s="6" t="s">
        <v>26</v>
      </c>
    </row>
    <row r="352" spans="1:17" x14ac:dyDescent="0.3">
      <c r="A352" s="6" t="s">
        <v>809</v>
      </c>
      <c r="B352" s="7">
        <v>45867</v>
      </c>
      <c r="C352" s="6" t="s">
        <v>810</v>
      </c>
      <c r="D352" s="6" t="s">
        <v>811</v>
      </c>
      <c r="E352" s="6" t="s">
        <v>30</v>
      </c>
      <c r="F352" s="6" t="s">
        <v>159</v>
      </c>
      <c r="G352" s="6" t="s">
        <v>38</v>
      </c>
      <c r="H352" s="6" t="s">
        <v>127</v>
      </c>
      <c r="I352" s="6">
        <v>3</v>
      </c>
      <c r="J352" s="8">
        <v>244800</v>
      </c>
      <c r="K352" s="9">
        <v>0</v>
      </c>
      <c r="L352" s="10">
        <v>734400</v>
      </c>
      <c r="M352" s="6">
        <v>495000</v>
      </c>
      <c r="N352" s="6">
        <v>239400</v>
      </c>
      <c r="O352" s="6" t="s">
        <v>68</v>
      </c>
      <c r="P352" s="6" t="s">
        <v>119</v>
      </c>
      <c r="Q352" s="6" t="s">
        <v>26</v>
      </c>
    </row>
    <row r="353" spans="1:17" x14ac:dyDescent="0.3">
      <c r="A353" s="6" t="s">
        <v>812</v>
      </c>
      <c r="B353" s="7">
        <v>45868</v>
      </c>
      <c r="C353" s="6" t="s">
        <v>362</v>
      </c>
      <c r="D353" s="6" t="s">
        <v>363</v>
      </c>
      <c r="E353" s="6" t="s">
        <v>67</v>
      </c>
      <c r="F353" s="6" t="s">
        <v>100</v>
      </c>
      <c r="G353" s="6" t="s">
        <v>78</v>
      </c>
      <c r="H353" s="6" t="s">
        <v>318</v>
      </c>
      <c r="I353" s="6">
        <v>4</v>
      </c>
      <c r="J353" s="8">
        <v>75300</v>
      </c>
      <c r="K353" s="9">
        <v>0</v>
      </c>
      <c r="L353" s="10">
        <v>0</v>
      </c>
      <c r="M353" s="6">
        <v>0</v>
      </c>
      <c r="N353" s="6">
        <v>0</v>
      </c>
      <c r="O353" s="6" t="s">
        <v>24</v>
      </c>
      <c r="P353" s="6" t="s">
        <v>54</v>
      </c>
      <c r="Q353" s="6" t="s">
        <v>69</v>
      </c>
    </row>
    <row r="354" spans="1:17" x14ac:dyDescent="0.3">
      <c r="A354" s="6" t="s">
        <v>813</v>
      </c>
      <c r="B354" s="7">
        <v>45869</v>
      </c>
      <c r="C354" s="6" t="s">
        <v>814</v>
      </c>
      <c r="D354" s="6" t="s">
        <v>815</v>
      </c>
      <c r="E354" s="6" t="s">
        <v>20</v>
      </c>
      <c r="F354" s="6" t="s">
        <v>62</v>
      </c>
      <c r="G354" s="6" t="s">
        <v>44</v>
      </c>
      <c r="H354" s="6" t="s">
        <v>89</v>
      </c>
      <c r="I354" s="6">
        <v>1</v>
      </c>
      <c r="J354" s="8">
        <v>192900</v>
      </c>
      <c r="K354" s="9">
        <v>0.05</v>
      </c>
      <c r="L354" s="10">
        <v>183255</v>
      </c>
      <c r="M354" s="6">
        <v>115000</v>
      </c>
      <c r="N354" s="6">
        <v>68255</v>
      </c>
      <c r="O354" s="6" t="s">
        <v>31</v>
      </c>
      <c r="P354" s="6" t="s">
        <v>163</v>
      </c>
      <c r="Q354" s="6" t="s">
        <v>26</v>
      </c>
    </row>
    <row r="355" spans="1:17" x14ac:dyDescent="0.3">
      <c r="A355" s="6" t="s">
        <v>816</v>
      </c>
      <c r="B355" s="7">
        <v>45870</v>
      </c>
      <c r="C355" s="6" t="s">
        <v>817</v>
      </c>
      <c r="D355" s="6" t="s">
        <v>818</v>
      </c>
      <c r="E355" s="6" t="s">
        <v>20</v>
      </c>
      <c r="F355" s="6" t="s">
        <v>20</v>
      </c>
      <c r="G355" s="6" t="s">
        <v>78</v>
      </c>
      <c r="H355" s="6" t="s">
        <v>115</v>
      </c>
      <c r="I355" s="6">
        <v>1</v>
      </c>
      <c r="J355" s="8">
        <v>84400</v>
      </c>
      <c r="K355" s="9">
        <v>0.05</v>
      </c>
      <c r="L355" s="10">
        <v>80180</v>
      </c>
      <c r="M355" s="6">
        <v>58000</v>
      </c>
      <c r="N355" s="6">
        <v>22180</v>
      </c>
      <c r="O355" s="6" t="s">
        <v>24</v>
      </c>
      <c r="P355" s="6" t="s">
        <v>119</v>
      </c>
      <c r="Q355" s="6" t="s">
        <v>26</v>
      </c>
    </row>
    <row r="356" spans="1:17" x14ac:dyDescent="0.3">
      <c r="A356" s="6" t="s">
        <v>819</v>
      </c>
      <c r="B356" s="7">
        <v>45870</v>
      </c>
      <c r="C356" s="6" t="s">
        <v>262</v>
      </c>
      <c r="D356" s="6" t="s">
        <v>263</v>
      </c>
      <c r="E356" s="6" t="s">
        <v>30</v>
      </c>
      <c r="F356" s="6" t="s">
        <v>30</v>
      </c>
      <c r="G356" s="6" t="s">
        <v>22</v>
      </c>
      <c r="H356" s="6" t="s">
        <v>49</v>
      </c>
      <c r="I356" s="6">
        <v>5</v>
      </c>
      <c r="J356" s="8">
        <v>1214500</v>
      </c>
      <c r="K356" s="9">
        <v>0.15</v>
      </c>
      <c r="L356" s="10">
        <v>0</v>
      </c>
      <c r="M356" s="6">
        <v>0</v>
      </c>
      <c r="N356" s="6">
        <v>0</v>
      </c>
      <c r="O356" s="6" t="s">
        <v>24</v>
      </c>
      <c r="P356" s="6" t="s">
        <v>25</v>
      </c>
      <c r="Q356" s="6" t="s">
        <v>69</v>
      </c>
    </row>
    <row r="357" spans="1:17" x14ac:dyDescent="0.3">
      <c r="A357" s="6" t="s">
        <v>820</v>
      </c>
      <c r="B357" s="7">
        <v>45870</v>
      </c>
      <c r="C357" s="6" t="s">
        <v>140</v>
      </c>
      <c r="D357" s="6" t="s">
        <v>141</v>
      </c>
      <c r="E357" s="6" t="s">
        <v>67</v>
      </c>
      <c r="F357" s="6" t="s">
        <v>100</v>
      </c>
      <c r="G357" s="6" t="s">
        <v>22</v>
      </c>
      <c r="H357" s="6" t="s">
        <v>49</v>
      </c>
      <c r="I357" s="6">
        <v>4</v>
      </c>
      <c r="J357" s="8">
        <v>1279800</v>
      </c>
      <c r="K357" s="9">
        <v>0.08</v>
      </c>
      <c r="L357" s="10">
        <v>4709664</v>
      </c>
      <c r="M357" s="6">
        <v>3800000</v>
      </c>
      <c r="N357" s="6">
        <v>909664</v>
      </c>
      <c r="O357" s="6" t="s">
        <v>68</v>
      </c>
      <c r="P357" s="6" t="s">
        <v>74</v>
      </c>
      <c r="Q357" s="6" t="s">
        <v>26</v>
      </c>
    </row>
    <row r="358" spans="1:17" x14ac:dyDescent="0.3">
      <c r="A358" s="6" t="s">
        <v>821</v>
      </c>
      <c r="B358" s="7">
        <v>45871</v>
      </c>
      <c r="C358" s="6" t="s">
        <v>359</v>
      </c>
      <c r="D358" s="6" t="s">
        <v>360</v>
      </c>
      <c r="E358" s="6" t="s">
        <v>87</v>
      </c>
      <c r="F358" s="6" t="s">
        <v>135</v>
      </c>
      <c r="G358" s="6" t="s">
        <v>22</v>
      </c>
      <c r="H358" s="6" t="s">
        <v>83</v>
      </c>
      <c r="I358" s="6">
        <v>2</v>
      </c>
      <c r="J358" s="8">
        <v>694400</v>
      </c>
      <c r="K358" s="9">
        <v>0.05</v>
      </c>
      <c r="L358" s="10">
        <v>1319360</v>
      </c>
      <c r="M358" s="6">
        <v>940000</v>
      </c>
      <c r="N358" s="6">
        <v>379360</v>
      </c>
      <c r="O358" s="6" t="s">
        <v>104</v>
      </c>
      <c r="P358" s="6" t="s">
        <v>90</v>
      </c>
      <c r="Q358" s="6" t="s">
        <v>26</v>
      </c>
    </row>
    <row r="359" spans="1:17" x14ac:dyDescent="0.3">
      <c r="A359" s="6" t="s">
        <v>822</v>
      </c>
      <c r="B359" s="7">
        <v>45871</v>
      </c>
      <c r="C359" s="6" t="s">
        <v>823</v>
      </c>
      <c r="D359" s="6" t="s">
        <v>824</v>
      </c>
      <c r="E359" s="6" t="s">
        <v>36</v>
      </c>
      <c r="F359" s="6" t="s">
        <v>37</v>
      </c>
      <c r="G359" s="6" t="s">
        <v>38</v>
      </c>
      <c r="H359" s="6" t="s">
        <v>39</v>
      </c>
      <c r="I359" s="6">
        <v>5</v>
      </c>
      <c r="J359" s="8">
        <v>26400</v>
      </c>
      <c r="K359" s="9">
        <v>0.1</v>
      </c>
      <c r="L359" s="10">
        <v>118800</v>
      </c>
      <c r="M359" s="6">
        <v>75000</v>
      </c>
      <c r="N359" s="6">
        <v>43800</v>
      </c>
      <c r="O359" s="6" t="s">
        <v>104</v>
      </c>
      <c r="P359" s="6" t="s">
        <v>163</v>
      </c>
      <c r="Q359" s="6" t="s">
        <v>26</v>
      </c>
    </row>
    <row r="360" spans="1:17" x14ac:dyDescent="0.3">
      <c r="A360" s="6" t="s">
        <v>825</v>
      </c>
      <c r="B360" s="7">
        <v>45873</v>
      </c>
      <c r="C360" s="6" t="s">
        <v>593</v>
      </c>
      <c r="D360" s="6" t="s">
        <v>594</v>
      </c>
      <c r="E360" s="6" t="s">
        <v>30</v>
      </c>
      <c r="F360" s="6" t="s">
        <v>222</v>
      </c>
      <c r="G360" s="6" t="s">
        <v>78</v>
      </c>
      <c r="H360" s="6" t="s">
        <v>188</v>
      </c>
      <c r="I360" s="6">
        <v>5</v>
      </c>
      <c r="J360" s="8">
        <v>90000</v>
      </c>
      <c r="K360" s="9">
        <v>0.05</v>
      </c>
      <c r="L360" s="10">
        <v>427500</v>
      </c>
      <c r="M360" s="6">
        <v>260000</v>
      </c>
      <c r="N360" s="6">
        <v>167500</v>
      </c>
      <c r="O360" s="6" t="s">
        <v>68</v>
      </c>
      <c r="P360" s="6" t="s">
        <v>54</v>
      </c>
      <c r="Q360" s="6" t="s">
        <v>26</v>
      </c>
    </row>
    <row r="361" spans="1:17" x14ac:dyDescent="0.3">
      <c r="A361" s="6" t="s">
        <v>826</v>
      </c>
      <c r="B361" s="7">
        <v>45873</v>
      </c>
      <c r="C361" s="6" t="s">
        <v>810</v>
      </c>
      <c r="D361" s="6" t="s">
        <v>811</v>
      </c>
      <c r="E361" s="6" t="s">
        <v>67</v>
      </c>
      <c r="F361" s="6" t="s">
        <v>100</v>
      </c>
      <c r="G361" s="6" t="s">
        <v>78</v>
      </c>
      <c r="H361" s="6" t="s">
        <v>188</v>
      </c>
      <c r="I361" s="6">
        <v>1</v>
      </c>
      <c r="J361" s="8">
        <v>81600</v>
      </c>
      <c r="K361" s="9">
        <v>0</v>
      </c>
      <c r="L361" s="10">
        <v>81600</v>
      </c>
      <c r="M361" s="6">
        <v>52000</v>
      </c>
      <c r="N361" s="6">
        <v>29600</v>
      </c>
      <c r="O361" s="6" t="s">
        <v>40</v>
      </c>
      <c r="P361" s="6" t="s">
        <v>90</v>
      </c>
      <c r="Q361" s="6" t="s">
        <v>26</v>
      </c>
    </row>
    <row r="362" spans="1:17" x14ac:dyDescent="0.3">
      <c r="A362" s="6" t="s">
        <v>827</v>
      </c>
      <c r="B362" s="7">
        <v>45874</v>
      </c>
      <c r="C362" s="6" t="s">
        <v>113</v>
      </c>
      <c r="D362" s="6" t="s">
        <v>114</v>
      </c>
      <c r="E362" s="6" t="s">
        <v>36</v>
      </c>
      <c r="F362" s="6" t="s">
        <v>155</v>
      </c>
      <c r="G362" s="6" t="s">
        <v>22</v>
      </c>
      <c r="H362" s="6" t="s">
        <v>58</v>
      </c>
      <c r="I362" s="6">
        <v>1</v>
      </c>
      <c r="J362" s="8">
        <v>89800</v>
      </c>
      <c r="K362" s="9">
        <v>0.02</v>
      </c>
      <c r="L362" s="10">
        <v>88004</v>
      </c>
      <c r="M362" s="6">
        <v>55000</v>
      </c>
      <c r="N362" s="6">
        <v>33004</v>
      </c>
      <c r="O362" s="6" t="s">
        <v>31</v>
      </c>
      <c r="P362" s="6" t="s">
        <v>25</v>
      </c>
      <c r="Q362" s="6" t="s">
        <v>26</v>
      </c>
    </row>
    <row r="363" spans="1:17" x14ac:dyDescent="0.3">
      <c r="A363" s="6" t="s">
        <v>828</v>
      </c>
      <c r="B363" s="7">
        <v>45874</v>
      </c>
      <c r="C363" s="6" t="s">
        <v>98</v>
      </c>
      <c r="D363" s="6" t="s">
        <v>99</v>
      </c>
      <c r="E363" s="6" t="s">
        <v>20</v>
      </c>
      <c r="F363" s="6" t="s">
        <v>62</v>
      </c>
      <c r="G363" s="6" t="s">
        <v>22</v>
      </c>
      <c r="H363" s="6" t="s">
        <v>49</v>
      </c>
      <c r="I363" s="6">
        <v>7</v>
      </c>
      <c r="J363" s="8">
        <v>1183100</v>
      </c>
      <c r="K363" s="9">
        <v>0</v>
      </c>
      <c r="L363" s="10">
        <v>8281700</v>
      </c>
      <c r="M363" s="6">
        <v>6650000</v>
      </c>
      <c r="N363" s="6">
        <v>1631700</v>
      </c>
      <c r="O363" s="6" t="s">
        <v>40</v>
      </c>
      <c r="P363" s="6" t="s">
        <v>32</v>
      </c>
      <c r="Q363" s="6" t="s">
        <v>26</v>
      </c>
    </row>
    <row r="364" spans="1:17" x14ac:dyDescent="0.3">
      <c r="A364" s="6" t="s">
        <v>829</v>
      </c>
      <c r="B364" s="7">
        <v>45874</v>
      </c>
      <c r="C364" s="6" t="s">
        <v>165</v>
      </c>
      <c r="D364" s="6" t="s">
        <v>166</v>
      </c>
      <c r="E364" s="6" t="s">
        <v>87</v>
      </c>
      <c r="F364" s="6" t="s">
        <v>135</v>
      </c>
      <c r="G364" s="6" t="s">
        <v>38</v>
      </c>
      <c r="H364" s="6" t="s">
        <v>39</v>
      </c>
      <c r="I364" s="6">
        <v>5</v>
      </c>
      <c r="J364" s="8">
        <v>27700</v>
      </c>
      <c r="K364" s="9">
        <v>0.08</v>
      </c>
      <c r="L364" s="10">
        <v>127420</v>
      </c>
      <c r="M364" s="6">
        <v>75000</v>
      </c>
      <c r="N364" s="6">
        <v>52420</v>
      </c>
      <c r="O364" s="6" t="s">
        <v>104</v>
      </c>
      <c r="P364" s="6" t="s">
        <v>63</v>
      </c>
      <c r="Q364" s="6" t="s">
        <v>26</v>
      </c>
    </row>
    <row r="365" spans="1:17" x14ac:dyDescent="0.3">
      <c r="A365" s="6" t="s">
        <v>830</v>
      </c>
      <c r="B365" s="7">
        <v>45875</v>
      </c>
      <c r="C365" s="6" t="s">
        <v>719</v>
      </c>
      <c r="D365" s="6" t="s">
        <v>720</v>
      </c>
      <c r="E365" s="6" t="s">
        <v>20</v>
      </c>
      <c r="F365" s="6" t="s">
        <v>21</v>
      </c>
      <c r="G365" s="6" t="s">
        <v>38</v>
      </c>
      <c r="H365" s="6" t="s">
        <v>53</v>
      </c>
      <c r="I365" s="6">
        <v>7</v>
      </c>
      <c r="J365" s="8">
        <v>383600</v>
      </c>
      <c r="K365" s="9">
        <v>0.08</v>
      </c>
      <c r="L365" s="10">
        <v>2470384</v>
      </c>
      <c r="M365" s="6">
        <v>1960000</v>
      </c>
      <c r="N365" s="6">
        <v>510384</v>
      </c>
      <c r="O365" s="6" t="s">
        <v>40</v>
      </c>
      <c r="P365" s="6" t="s">
        <v>32</v>
      </c>
      <c r="Q365" s="6" t="s">
        <v>26</v>
      </c>
    </row>
    <row r="366" spans="1:17" x14ac:dyDescent="0.3">
      <c r="A366" s="6" t="s">
        <v>831</v>
      </c>
      <c r="B366" s="7">
        <v>45875</v>
      </c>
      <c r="C366" s="6" t="s">
        <v>508</v>
      </c>
      <c r="D366" s="6" t="s">
        <v>509</v>
      </c>
      <c r="E366" s="6" t="s">
        <v>67</v>
      </c>
      <c r="F366" s="6" t="s">
        <v>67</v>
      </c>
      <c r="G366" s="6" t="s">
        <v>38</v>
      </c>
      <c r="H366" s="6" t="s">
        <v>53</v>
      </c>
      <c r="I366" s="6">
        <v>6</v>
      </c>
      <c r="J366" s="8">
        <v>376000</v>
      </c>
      <c r="K366" s="9">
        <v>0.02</v>
      </c>
      <c r="L366" s="10">
        <v>2210880</v>
      </c>
      <c r="M366" s="6">
        <v>1680000</v>
      </c>
      <c r="N366" s="6">
        <v>530880</v>
      </c>
      <c r="O366" s="6" t="s">
        <v>31</v>
      </c>
      <c r="P366" s="6" t="s">
        <v>25</v>
      </c>
      <c r="Q366" s="6" t="s">
        <v>26</v>
      </c>
    </row>
    <row r="367" spans="1:17" x14ac:dyDescent="0.3">
      <c r="A367" s="6" t="s">
        <v>832</v>
      </c>
      <c r="B367" s="7">
        <v>45877</v>
      </c>
      <c r="C367" s="6" t="s">
        <v>228</v>
      </c>
      <c r="D367" s="6" t="s">
        <v>229</v>
      </c>
      <c r="E367" s="6" t="s">
        <v>30</v>
      </c>
      <c r="F367" s="6" t="s">
        <v>30</v>
      </c>
      <c r="G367" s="6" t="s">
        <v>44</v>
      </c>
      <c r="H367" s="6" t="s">
        <v>45</v>
      </c>
      <c r="I367" s="6">
        <v>2</v>
      </c>
      <c r="J367" s="8">
        <v>507700</v>
      </c>
      <c r="K367" s="9">
        <v>0</v>
      </c>
      <c r="L367" s="10">
        <v>1015400</v>
      </c>
      <c r="M367" s="6">
        <v>730000</v>
      </c>
      <c r="N367" s="6">
        <v>285400</v>
      </c>
      <c r="O367" s="6" t="s">
        <v>40</v>
      </c>
      <c r="P367" s="6" t="s">
        <v>119</v>
      </c>
      <c r="Q367" s="6" t="s">
        <v>26</v>
      </c>
    </row>
    <row r="368" spans="1:17" x14ac:dyDescent="0.3">
      <c r="A368" s="6" t="s">
        <v>833</v>
      </c>
      <c r="B368" s="7">
        <v>45877</v>
      </c>
      <c r="C368" s="6" t="s">
        <v>834</v>
      </c>
      <c r="D368" s="6" t="s">
        <v>835</v>
      </c>
      <c r="E368" s="6" t="s">
        <v>36</v>
      </c>
      <c r="F368" s="6" t="s">
        <v>155</v>
      </c>
      <c r="G368" s="6" t="s">
        <v>38</v>
      </c>
      <c r="H368" s="6" t="s">
        <v>127</v>
      </c>
      <c r="I368" s="6">
        <v>2</v>
      </c>
      <c r="J368" s="8">
        <v>251500</v>
      </c>
      <c r="K368" s="9">
        <v>0.02</v>
      </c>
      <c r="L368" s="10">
        <v>492940</v>
      </c>
      <c r="M368" s="6">
        <v>330000</v>
      </c>
      <c r="N368" s="6">
        <v>162940</v>
      </c>
      <c r="O368" s="6" t="s">
        <v>104</v>
      </c>
      <c r="P368" s="6" t="s">
        <v>74</v>
      </c>
      <c r="Q368" s="6" t="s">
        <v>26</v>
      </c>
    </row>
    <row r="369" spans="1:17" x14ac:dyDescent="0.3">
      <c r="A369" s="6" t="s">
        <v>836</v>
      </c>
      <c r="B369" s="7">
        <v>45877</v>
      </c>
      <c r="C369" s="6" t="s">
        <v>803</v>
      </c>
      <c r="D369" s="6" t="s">
        <v>804</v>
      </c>
      <c r="E369" s="6" t="s">
        <v>20</v>
      </c>
      <c r="F369" s="6" t="s">
        <v>21</v>
      </c>
      <c r="G369" s="6" t="s">
        <v>78</v>
      </c>
      <c r="H369" s="6" t="s">
        <v>318</v>
      </c>
      <c r="I369" s="6">
        <v>7</v>
      </c>
      <c r="J369" s="8">
        <v>76200</v>
      </c>
      <c r="K369" s="9">
        <v>0.08</v>
      </c>
      <c r="L369" s="10">
        <v>-490728</v>
      </c>
      <c r="M369" s="6">
        <v>-301000</v>
      </c>
      <c r="N369" s="6">
        <v>-189728</v>
      </c>
      <c r="O369" s="6" t="s">
        <v>31</v>
      </c>
      <c r="P369" s="6" t="s">
        <v>63</v>
      </c>
      <c r="Q369" s="6" t="s">
        <v>105</v>
      </c>
    </row>
    <row r="370" spans="1:17" x14ac:dyDescent="0.3">
      <c r="A370" s="6" t="s">
        <v>837</v>
      </c>
      <c r="B370" s="7">
        <v>45877</v>
      </c>
      <c r="C370" s="6" t="s">
        <v>561</v>
      </c>
      <c r="D370" s="6" t="s">
        <v>562</v>
      </c>
      <c r="E370" s="6" t="s">
        <v>67</v>
      </c>
      <c r="F370" s="6" t="s">
        <v>236</v>
      </c>
      <c r="G370" s="6" t="s">
        <v>22</v>
      </c>
      <c r="H370" s="6" t="s">
        <v>83</v>
      </c>
      <c r="I370" s="6">
        <v>7</v>
      </c>
      <c r="J370" s="8">
        <v>644800</v>
      </c>
      <c r="K370" s="9">
        <v>0.08</v>
      </c>
      <c r="L370" s="10">
        <v>4152512</v>
      </c>
      <c r="M370" s="6">
        <v>3290000</v>
      </c>
      <c r="N370" s="6">
        <v>862512</v>
      </c>
      <c r="O370" s="6" t="s">
        <v>31</v>
      </c>
      <c r="P370" s="6" t="s">
        <v>32</v>
      </c>
      <c r="Q370" s="6" t="s">
        <v>26</v>
      </c>
    </row>
    <row r="371" spans="1:17" x14ac:dyDescent="0.3">
      <c r="A371" s="6" t="s">
        <v>838</v>
      </c>
      <c r="B371" s="7">
        <v>45878</v>
      </c>
      <c r="C371" s="6" t="s">
        <v>834</v>
      </c>
      <c r="D371" s="6" t="s">
        <v>835</v>
      </c>
      <c r="E371" s="6" t="s">
        <v>87</v>
      </c>
      <c r="F371" s="6" t="s">
        <v>88</v>
      </c>
      <c r="G371" s="6" t="s">
        <v>78</v>
      </c>
      <c r="H371" s="6" t="s">
        <v>188</v>
      </c>
      <c r="I371" s="6">
        <v>5</v>
      </c>
      <c r="J371" s="8">
        <v>85700</v>
      </c>
      <c r="K371" s="9">
        <v>0.05</v>
      </c>
      <c r="L371" s="10">
        <v>407075</v>
      </c>
      <c r="M371" s="6">
        <v>260000</v>
      </c>
      <c r="N371" s="6">
        <v>147075</v>
      </c>
      <c r="O371" s="6" t="s">
        <v>31</v>
      </c>
      <c r="P371" s="6" t="s">
        <v>54</v>
      </c>
      <c r="Q371" s="6" t="s">
        <v>26</v>
      </c>
    </row>
    <row r="372" spans="1:17" x14ac:dyDescent="0.3">
      <c r="A372" s="6" t="s">
        <v>839</v>
      </c>
      <c r="B372" s="7">
        <v>45878</v>
      </c>
      <c r="C372" s="6" t="s">
        <v>247</v>
      </c>
      <c r="D372" s="6" t="s">
        <v>248</v>
      </c>
      <c r="E372" s="6" t="s">
        <v>87</v>
      </c>
      <c r="F372" s="6" t="s">
        <v>135</v>
      </c>
      <c r="G372" s="6" t="s">
        <v>22</v>
      </c>
      <c r="H372" s="6" t="s">
        <v>23</v>
      </c>
      <c r="I372" s="6">
        <v>4</v>
      </c>
      <c r="J372" s="8">
        <v>413900</v>
      </c>
      <c r="K372" s="9">
        <v>0.08</v>
      </c>
      <c r="L372" s="10">
        <v>1523152</v>
      </c>
      <c r="M372" s="6">
        <v>1200000</v>
      </c>
      <c r="N372" s="6">
        <v>323152</v>
      </c>
      <c r="O372" s="6" t="s">
        <v>24</v>
      </c>
      <c r="P372" s="6" t="s">
        <v>25</v>
      </c>
      <c r="Q372" s="6" t="s">
        <v>26</v>
      </c>
    </row>
    <row r="373" spans="1:17" x14ac:dyDescent="0.3">
      <c r="A373" s="6" t="s">
        <v>840</v>
      </c>
      <c r="B373" s="7">
        <v>45879</v>
      </c>
      <c r="C373" s="6" t="s">
        <v>271</v>
      </c>
      <c r="D373" s="6" t="s">
        <v>272</v>
      </c>
      <c r="E373" s="6" t="s">
        <v>20</v>
      </c>
      <c r="F373" s="6" t="s">
        <v>21</v>
      </c>
      <c r="G373" s="6" t="s">
        <v>22</v>
      </c>
      <c r="H373" s="6" t="s">
        <v>23</v>
      </c>
      <c r="I373" s="6">
        <v>5</v>
      </c>
      <c r="J373" s="8">
        <v>394800</v>
      </c>
      <c r="K373" s="9">
        <v>0.1</v>
      </c>
      <c r="L373" s="10">
        <v>0</v>
      </c>
      <c r="M373" s="6">
        <v>0</v>
      </c>
      <c r="N373" s="6">
        <v>0</v>
      </c>
      <c r="O373" s="6" t="s">
        <v>31</v>
      </c>
      <c r="P373" s="6" t="s">
        <v>63</v>
      </c>
      <c r="Q373" s="6" t="s">
        <v>69</v>
      </c>
    </row>
    <row r="374" spans="1:17" x14ac:dyDescent="0.3">
      <c r="A374" s="6" t="s">
        <v>841</v>
      </c>
      <c r="B374" s="7">
        <v>45880</v>
      </c>
      <c r="C374" s="6" t="s">
        <v>770</v>
      </c>
      <c r="D374" s="6" t="s">
        <v>771</v>
      </c>
      <c r="E374" s="6" t="s">
        <v>20</v>
      </c>
      <c r="F374" s="6" t="s">
        <v>123</v>
      </c>
      <c r="G374" s="6" t="s">
        <v>78</v>
      </c>
      <c r="H374" s="6" t="s">
        <v>318</v>
      </c>
      <c r="I374" s="6">
        <v>3</v>
      </c>
      <c r="J374" s="8">
        <v>70400</v>
      </c>
      <c r="K374" s="9">
        <v>0</v>
      </c>
      <c r="L374" s="10">
        <v>211200</v>
      </c>
      <c r="M374" s="6">
        <v>129000</v>
      </c>
      <c r="N374" s="6">
        <v>82200</v>
      </c>
      <c r="O374" s="6" t="s">
        <v>24</v>
      </c>
      <c r="P374" s="6" t="s">
        <v>119</v>
      </c>
      <c r="Q374" s="6" t="s">
        <v>26</v>
      </c>
    </row>
    <row r="375" spans="1:17" x14ac:dyDescent="0.3">
      <c r="A375" s="6" t="s">
        <v>842</v>
      </c>
      <c r="B375" s="7">
        <v>45880</v>
      </c>
      <c r="C375" s="6" t="s">
        <v>140</v>
      </c>
      <c r="D375" s="6" t="s">
        <v>141</v>
      </c>
      <c r="E375" s="6" t="s">
        <v>20</v>
      </c>
      <c r="F375" s="6" t="s">
        <v>21</v>
      </c>
      <c r="G375" s="6" t="s">
        <v>78</v>
      </c>
      <c r="H375" s="6" t="s">
        <v>115</v>
      </c>
      <c r="I375" s="6">
        <v>4</v>
      </c>
      <c r="J375" s="8">
        <v>95700</v>
      </c>
      <c r="K375" s="9">
        <v>0.08</v>
      </c>
      <c r="L375" s="10">
        <v>352176</v>
      </c>
      <c r="M375" s="6">
        <v>232000</v>
      </c>
      <c r="N375" s="6">
        <v>120176</v>
      </c>
      <c r="O375" s="6" t="s">
        <v>104</v>
      </c>
      <c r="P375" s="6" t="s">
        <v>25</v>
      </c>
      <c r="Q375" s="6" t="s">
        <v>26</v>
      </c>
    </row>
    <row r="376" spans="1:17" x14ac:dyDescent="0.3">
      <c r="A376" s="6" t="s">
        <v>843</v>
      </c>
      <c r="B376" s="7">
        <v>45882</v>
      </c>
      <c r="C376" s="6" t="s">
        <v>262</v>
      </c>
      <c r="D376" s="6" t="s">
        <v>263</v>
      </c>
      <c r="E376" s="6" t="s">
        <v>36</v>
      </c>
      <c r="F376" s="6" t="s">
        <v>36</v>
      </c>
      <c r="G376" s="6" t="s">
        <v>44</v>
      </c>
      <c r="H376" s="6" t="s">
        <v>73</v>
      </c>
      <c r="I376" s="6">
        <v>2</v>
      </c>
      <c r="J376" s="8">
        <v>324500</v>
      </c>
      <c r="K376" s="9">
        <v>0.05</v>
      </c>
      <c r="L376" s="10">
        <v>616550</v>
      </c>
      <c r="M376" s="6">
        <v>420000</v>
      </c>
      <c r="N376" s="6">
        <v>196550</v>
      </c>
      <c r="O376" s="6" t="s">
        <v>104</v>
      </c>
      <c r="P376" s="6" t="s">
        <v>163</v>
      </c>
      <c r="Q376" s="6" t="s">
        <v>26</v>
      </c>
    </row>
    <row r="377" spans="1:17" x14ac:dyDescent="0.3">
      <c r="A377" s="6" t="s">
        <v>844</v>
      </c>
      <c r="B377" s="7">
        <v>45882</v>
      </c>
      <c r="C377" s="6" t="s">
        <v>845</v>
      </c>
      <c r="D377" s="6" t="s">
        <v>846</v>
      </c>
      <c r="E377" s="6" t="s">
        <v>30</v>
      </c>
      <c r="F377" s="6" t="s">
        <v>159</v>
      </c>
      <c r="G377" s="6" t="s">
        <v>44</v>
      </c>
      <c r="H377" s="6" t="s">
        <v>89</v>
      </c>
      <c r="I377" s="6">
        <v>6</v>
      </c>
      <c r="J377" s="8">
        <v>182300</v>
      </c>
      <c r="K377" s="9">
        <v>0</v>
      </c>
      <c r="L377" s="10">
        <v>1093800</v>
      </c>
      <c r="M377" s="6">
        <v>690000</v>
      </c>
      <c r="N377" s="6">
        <v>403800</v>
      </c>
      <c r="O377" s="6" t="s">
        <v>104</v>
      </c>
      <c r="P377" s="6" t="s">
        <v>90</v>
      </c>
      <c r="Q377" s="6" t="s">
        <v>26</v>
      </c>
    </row>
    <row r="378" spans="1:17" x14ac:dyDescent="0.3">
      <c r="A378" s="6" t="s">
        <v>847</v>
      </c>
      <c r="B378" s="7">
        <v>45883</v>
      </c>
      <c r="C378" s="6" t="s">
        <v>736</v>
      </c>
      <c r="D378" s="6" t="s">
        <v>737</v>
      </c>
      <c r="E378" s="6" t="s">
        <v>20</v>
      </c>
      <c r="F378" s="6" t="s">
        <v>62</v>
      </c>
      <c r="G378" s="6" t="s">
        <v>38</v>
      </c>
      <c r="H378" s="6" t="s">
        <v>127</v>
      </c>
      <c r="I378" s="6">
        <v>1</v>
      </c>
      <c r="J378" s="8">
        <v>233500</v>
      </c>
      <c r="K378" s="9">
        <v>0.05</v>
      </c>
      <c r="L378" s="10">
        <v>221825</v>
      </c>
      <c r="M378" s="6">
        <v>165000</v>
      </c>
      <c r="N378" s="6">
        <v>56825</v>
      </c>
      <c r="O378" s="6" t="s">
        <v>40</v>
      </c>
      <c r="P378" s="6" t="s">
        <v>25</v>
      </c>
      <c r="Q378" s="6" t="s">
        <v>26</v>
      </c>
    </row>
    <row r="379" spans="1:17" x14ac:dyDescent="0.3">
      <c r="A379" s="6" t="s">
        <v>848</v>
      </c>
      <c r="B379" s="7">
        <v>45884</v>
      </c>
      <c r="C379" s="6" t="s">
        <v>217</v>
      </c>
      <c r="D379" s="6" t="s">
        <v>218</v>
      </c>
      <c r="E379" s="6" t="s">
        <v>20</v>
      </c>
      <c r="F379" s="6" t="s">
        <v>21</v>
      </c>
      <c r="G379" s="6" t="s">
        <v>38</v>
      </c>
      <c r="H379" s="6" t="s">
        <v>127</v>
      </c>
      <c r="I379" s="6">
        <v>7</v>
      </c>
      <c r="J379" s="8">
        <v>220900</v>
      </c>
      <c r="K379" s="9">
        <v>0.05</v>
      </c>
      <c r="L379" s="10">
        <v>1468985</v>
      </c>
      <c r="M379" s="6">
        <v>1155000</v>
      </c>
      <c r="N379" s="6">
        <v>313985</v>
      </c>
      <c r="O379" s="6" t="s">
        <v>40</v>
      </c>
      <c r="P379" s="6" t="s">
        <v>54</v>
      </c>
      <c r="Q379" s="6" t="s">
        <v>26</v>
      </c>
    </row>
    <row r="380" spans="1:17" x14ac:dyDescent="0.3">
      <c r="A380" s="6" t="s">
        <v>849</v>
      </c>
      <c r="B380" s="7">
        <v>45886</v>
      </c>
      <c r="C380" s="6" t="s">
        <v>442</v>
      </c>
      <c r="D380" s="6" t="s">
        <v>443</v>
      </c>
      <c r="E380" s="6" t="s">
        <v>36</v>
      </c>
      <c r="F380" s="6" t="s">
        <v>36</v>
      </c>
      <c r="G380" s="6" t="s">
        <v>44</v>
      </c>
      <c r="H380" s="6" t="s">
        <v>45</v>
      </c>
      <c r="I380" s="6">
        <v>2</v>
      </c>
      <c r="J380" s="8">
        <v>541700</v>
      </c>
      <c r="K380" s="9">
        <v>0.05</v>
      </c>
      <c r="L380" s="10">
        <v>1029230</v>
      </c>
      <c r="M380" s="6">
        <v>730000</v>
      </c>
      <c r="N380" s="6">
        <v>299230</v>
      </c>
      <c r="O380" s="6" t="s">
        <v>31</v>
      </c>
      <c r="P380" s="6" t="s">
        <v>25</v>
      </c>
      <c r="Q380" s="6" t="s">
        <v>26</v>
      </c>
    </row>
    <row r="381" spans="1:17" x14ac:dyDescent="0.3">
      <c r="A381" s="6" t="s">
        <v>850</v>
      </c>
      <c r="B381" s="7">
        <v>45886</v>
      </c>
      <c r="C381" s="6" t="s">
        <v>851</v>
      </c>
      <c r="D381" s="6" t="s">
        <v>852</v>
      </c>
      <c r="E381" s="6" t="s">
        <v>67</v>
      </c>
      <c r="F381" s="6" t="s">
        <v>236</v>
      </c>
      <c r="G381" s="6" t="s">
        <v>44</v>
      </c>
      <c r="H381" s="6" t="s">
        <v>45</v>
      </c>
      <c r="I381" s="6">
        <v>1</v>
      </c>
      <c r="J381" s="8">
        <v>558900</v>
      </c>
      <c r="K381" s="9">
        <v>0.02</v>
      </c>
      <c r="L381" s="10">
        <v>0</v>
      </c>
      <c r="M381" s="6">
        <v>0</v>
      </c>
      <c r="N381" s="6">
        <v>0</v>
      </c>
      <c r="O381" s="6" t="s">
        <v>68</v>
      </c>
      <c r="P381" s="6" t="s">
        <v>54</v>
      </c>
      <c r="Q381" s="6" t="s">
        <v>69</v>
      </c>
    </row>
    <row r="382" spans="1:17" x14ac:dyDescent="0.3">
      <c r="A382" s="6" t="s">
        <v>853</v>
      </c>
      <c r="B382" s="7">
        <v>45887</v>
      </c>
      <c r="C382" s="6" t="s">
        <v>521</v>
      </c>
      <c r="D382" s="6" t="s">
        <v>522</v>
      </c>
      <c r="E382" s="6" t="s">
        <v>30</v>
      </c>
      <c r="F382" s="6" t="s">
        <v>222</v>
      </c>
      <c r="G382" s="6" t="s">
        <v>38</v>
      </c>
      <c r="H382" s="6" t="s">
        <v>214</v>
      </c>
      <c r="I382" s="6">
        <v>1</v>
      </c>
      <c r="J382" s="8">
        <v>43700</v>
      </c>
      <c r="K382" s="9">
        <v>0.1</v>
      </c>
      <c r="L382" s="10">
        <v>39330</v>
      </c>
      <c r="M382" s="6">
        <v>26000</v>
      </c>
      <c r="N382" s="6">
        <v>13330</v>
      </c>
      <c r="O382" s="6" t="s">
        <v>40</v>
      </c>
      <c r="P382" s="6" t="s">
        <v>119</v>
      </c>
      <c r="Q382" s="6" t="s">
        <v>26</v>
      </c>
    </row>
    <row r="383" spans="1:17" x14ac:dyDescent="0.3">
      <c r="A383" s="6" t="s">
        <v>854</v>
      </c>
      <c r="B383" s="7">
        <v>45887</v>
      </c>
      <c r="C383" s="6" t="s">
        <v>791</v>
      </c>
      <c r="D383" s="6" t="s">
        <v>792</v>
      </c>
      <c r="E383" s="6" t="s">
        <v>20</v>
      </c>
      <c r="F383" s="6" t="s">
        <v>20</v>
      </c>
      <c r="G383" s="6" t="s">
        <v>22</v>
      </c>
      <c r="H383" s="6" t="s">
        <v>49</v>
      </c>
      <c r="I383" s="6">
        <v>2</v>
      </c>
      <c r="J383" s="8">
        <v>1328400</v>
      </c>
      <c r="K383" s="9">
        <v>0</v>
      </c>
      <c r="L383" s="10">
        <v>2656800</v>
      </c>
      <c r="M383" s="6">
        <v>1900000</v>
      </c>
      <c r="N383" s="6">
        <v>756800</v>
      </c>
      <c r="O383" s="6" t="s">
        <v>104</v>
      </c>
      <c r="P383" s="6" t="s">
        <v>32</v>
      </c>
      <c r="Q383" s="6" t="s">
        <v>26</v>
      </c>
    </row>
    <row r="384" spans="1:17" x14ac:dyDescent="0.3">
      <c r="A384" s="6" t="s">
        <v>855</v>
      </c>
      <c r="B384" s="7">
        <v>45888</v>
      </c>
      <c r="C384" s="6" t="s">
        <v>588</v>
      </c>
      <c r="D384" s="6" t="s">
        <v>589</v>
      </c>
      <c r="E384" s="6" t="s">
        <v>20</v>
      </c>
      <c r="F384" s="6" t="s">
        <v>21</v>
      </c>
      <c r="G384" s="6" t="s">
        <v>78</v>
      </c>
      <c r="H384" s="6" t="s">
        <v>188</v>
      </c>
      <c r="I384" s="6">
        <v>6</v>
      </c>
      <c r="J384" s="8">
        <v>80600</v>
      </c>
      <c r="K384" s="9">
        <v>0</v>
      </c>
      <c r="L384" s="10">
        <v>483600</v>
      </c>
      <c r="M384" s="6">
        <v>312000</v>
      </c>
      <c r="N384" s="6">
        <v>171600</v>
      </c>
      <c r="O384" s="6" t="s">
        <v>68</v>
      </c>
      <c r="P384" s="6" t="s">
        <v>25</v>
      </c>
      <c r="Q384" s="6" t="s">
        <v>26</v>
      </c>
    </row>
    <row r="385" spans="1:17" x14ac:dyDescent="0.3">
      <c r="A385" s="6" t="s">
        <v>856</v>
      </c>
      <c r="B385" s="7">
        <v>45888</v>
      </c>
      <c r="C385" s="6" t="s">
        <v>505</v>
      </c>
      <c r="D385" s="6" t="s">
        <v>506</v>
      </c>
      <c r="E385" s="6" t="s">
        <v>87</v>
      </c>
      <c r="F385" s="6" t="s">
        <v>88</v>
      </c>
      <c r="G385" s="6" t="s">
        <v>22</v>
      </c>
      <c r="H385" s="6" t="s">
        <v>23</v>
      </c>
      <c r="I385" s="6">
        <v>4</v>
      </c>
      <c r="J385" s="8">
        <v>433800</v>
      </c>
      <c r="K385" s="9">
        <v>0.05</v>
      </c>
      <c r="L385" s="10">
        <v>1648440</v>
      </c>
      <c r="M385" s="6">
        <v>1200000</v>
      </c>
      <c r="N385" s="6">
        <v>448440</v>
      </c>
      <c r="O385" s="6" t="s">
        <v>40</v>
      </c>
      <c r="P385" s="6" t="s">
        <v>63</v>
      </c>
      <c r="Q385" s="6" t="s">
        <v>26</v>
      </c>
    </row>
    <row r="386" spans="1:17" x14ac:dyDescent="0.3">
      <c r="A386" s="6" t="s">
        <v>857</v>
      </c>
      <c r="B386" s="7">
        <v>45889</v>
      </c>
      <c r="C386" s="6" t="s">
        <v>744</v>
      </c>
      <c r="D386" s="6" t="s">
        <v>745</v>
      </c>
      <c r="E386" s="6" t="s">
        <v>20</v>
      </c>
      <c r="F386" s="6" t="s">
        <v>123</v>
      </c>
      <c r="G386" s="6" t="s">
        <v>44</v>
      </c>
      <c r="H386" s="6" t="s">
        <v>45</v>
      </c>
      <c r="I386" s="6">
        <v>7</v>
      </c>
      <c r="J386" s="8">
        <v>542700</v>
      </c>
      <c r="K386" s="9">
        <v>0.02</v>
      </c>
      <c r="L386" s="10">
        <v>3722922</v>
      </c>
      <c r="M386" s="6">
        <v>2555000</v>
      </c>
      <c r="N386" s="6">
        <v>1167922</v>
      </c>
      <c r="O386" s="6" t="s">
        <v>31</v>
      </c>
      <c r="P386" s="6" t="s">
        <v>74</v>
      </c>
      <c r="Q386" s="6" t="s">
        <v>26</v>
      </c>
    </row>
    <row r="387" spans="1:17" x14ac:dyDescent="0.3">
      <c r="A387" s="6" t="s">
        <v>858</v>
      </c>
      <c r="B387" s="7">
        <v>45889</v>
      </c>
      <c r="C387" s="6" t="s">
        <v>859</v>
      </c>
      <c r="D387" s="6" t="s">
        <v>860</v>
      </c>
      <c r="E387" s="6" t="s">
        <v>30</v>
      </c>
      <c r="F387" s="6" t="s">
        <v>222</v>
      </c>
      <c r="G387" s="6" t="s">
        <v>22</v>
      </c>
      <c r="H387" s="6" t="s">
        <v>49</v>
      </c>
      <c r="I387" s="6">
        <v>2</v>
      </c>
      <c r="J387" s="8">
        <v>1280700</v>
      </c>
      <c r="K387" s="9">
        <v>0.15</v>
      </c>
      <c r="L387" s="10">
        <v>2177190</v>
      </c>
      <c r="M387" s="6">
        <v>1900000</v>
      </c>
      <c r="N387" s="6">
        <v>277190</v>
      </c>
      <c r="O387" s="6" t="s">
        <v>31</v>
      </c>
      <c r="P387" s="6" t="s">
        <v>32</v>
      </c>
      <c r="Q387" s="6" t="s">
        <v>26</v>
      </c>
    </row>
    <row r="388" spans="1:17" x14ac:dyDescent="0.3">
      <c r="A388" s="6" t="s">
        <v>861</v>
      </c>
      <c r="B388" s="7">
        <v>45889</v>
      </c>
      <c r="C388" s="6" t="s">
        <v>283</v>
      </c>
      <c r="D388" s="6" t="s">
        <v>284</v>
      </c>
      <c r="E388" s="6" t="s">
        <v>36</v>
      </c>
      <c r="F388" s="6" t="s">
        <v>37</v>
      </c>
      <c r="G388" s="6" t="s">
        <v>44</v>
      </c>
      <c r="H388" s="6" t="s">
        <v>45</v>
      </c>
      <c r="I388" s="6">
        <v>5</v>
      </c>
      <c r="J388" s="8">
        <v>509000</v>
      </c>
      <c r="K388" s="9">
        <v>0</v>
      </c>
      <c r="L388" s="10">
        <v>2545000</v>
      </c>
      <c r="M388" s="6">
        <v>1825000</v>
      </c>
      <c r="N388" s="6">
        <v>720000</v>
      </c>
      <c r="O388" s="6" t="s">
        <v>68</v>
      </c>
      <c r="P388" s="6" t="s">
        <v>74</v>
      </c>
      <c r="Q388" s="6" t="s">
        <v>26</v>
      </c>
    </row>
    <row r="389" spans="1:17" x14ac:dyDescent="0.3">
      <c r="A389" s="6" t="s">
        <v>862</v>
      </c>
      <c r="B389" s="7">
        <v>45890</v>
      </c>
      <c r="C389" s="6" t="s">
        <v>446</v>
      </c>
      <c r="D389" s="6" t="s">
        <v>447</v>
      </c>
      <c r="E389" s="6" t="s">
        <v>20</v>
      </c>
      <c r="F389" s="6" t="s">
        <v>123</v>
      </c>
      <c r="G389" s="6" t="s">
        <v>22</v>
      </c>
      <c r="H389" s="6" t="s">
        <v>23</v>
      </c>
      <c r="I389" s="6">
        <v>4</v>
      </c>
      <c r="J389" s="8">
        <v>413700</v>
      </c>
      <c r="K389" s="9">
        <v>0.1</v>
      </c>
      <c r="L389" s="10">
        <v>1489320</v>
      </c>
      <c r="M389" s="6">
        <v>1200000</v>
      </c>
      <c r="N389" s="6">
        <v>289320</v>
      </c>
      <c r="O389" s="6" t="s">
        <v>68</v>
      </c>
      <c r="P389" s="6" t="s">
        <v>63</v>
      </c>
      <c r="Q389" s="6" t="s">
        <v>26</v>
      </c>
    </row>
    <row r="390" spans="1:17" x14ac:dyDescent="0.3">
      <c r="A390" s="6" t="s">
        <v>863</v>
      </c>
      <c r="B390" s="7">
        <v>45890</v>
      </c>
      <c r="C390" s="6" t="s">
        <v>481</v>
      </c>
      <c r="D390" s="6" t="s">
        <v>482</v>
      </c>
      <c r="E390" s="6" t="s">
        <v>36</v>
      </c>
      <c r="F390" s="6" t="s">
        <v>37</v>
      </c>
      <c r="G390" s="6" t="s">
        <v>22</v>
      </c>
      <c r="H390" s="6" t="s">
        <v>49</v>
      </c>
      <c r="I390" s="6">
        <v>1</v>
      </c>
      <c r="J390" s="8">
        <v>1293400</v>
      </c>
      <c r="K390" s="9">
        <v>0.05</v>
      </c>
      <c r="L390" s="10">
        <v>1228730</v>
      </c>
      <c r="M390" s="6">
        <v>950000</v>
      </c>
      <c r="N390" s="6">
        <v>278730</v>
      </c>
      <c r="O390" s="6" t="s">
        <v>68</v>
      </c>
      <c r="P390" s="6" t="s">
        <v>74</v>
      </c>
      <c r="Q390" s="6" t="s">
        <v>26</v>
      </c>
    </row>
    <row r="391" spans="1:17" x14ac:dyDescent="0.3">
      <c r="A391" s="6" t="s">
        <v>864</v>
      </c>
      <c r="B391" s="7">
        <v>45890</v>
      </c>
      <c r="C391" s="6" t="s">
        <v>607</v>
      </c>
      <c r="D391" s="6" t="s">
        <v>608</v>
      </c>
      <c r="E391" s="6" t="s">
        <v>30</v>
      </c>
      <c r="F391" s="6" t="s">
        <v>222</v>
      </c>
      <c r="G391" s="6" t="s">
        <v>38</v>
      </c>
      <c r="H391" s="6" t="s">
        <v>127</v>
      </c>
      <c r="I391" s="6">
        <v>2</v>
      </c>
      <c r="J391" s="8">
        <v>244900</v>
      </c>
      <c r="K391" s="9">
        <v>0.08</v>
      </c>
      <c r="L391" s="10">
        <v>0</v>
      </c>
      <c r="M391" s="6">
        <v>0</v>
      </c>
      <c r="N391" s="6">
        <v>0</v>
      </c>
      <c r="O391" s="6" t="s">
        <v>68</v>
      </c>
      <c r="P391" s="6" t="s">
        <v>119</v>
      </c>
      <c r="Q391" s="6" t="s">
        <v>69</v>
      </c>
    </row>
    <row r="392" spans="1:17" x14ac:dyDescent="0.3">
      <c r="A392" s="6" t="s">
        <v>865</v>
      </c>
      <c r="B392" s="7">
        <v>45890</v>
      </c>
      <c r="C392" s="6" t="s">
        <v>719</v>
      </c>
      <c r="D392" s="6" t="s">
        <v>720</v>
      </c>
      <c r="E392" s="6" t="s">
        <v>20</v>
      </c>
      <c r="F392" s="6" t="s">
        <v>62</v>
      </c>
      <c r="G392" s="6" t="s">
        <v>44</v>
      </c>
      <c r="H392" s="6" t="s">
        <v>89</v>
      </c>
      <c r="I392" s="6">
        <v>1</v>
      </c>
      <c r="J392" s="8">
        <v>184100</v>
      </c>
      <c r="K392" s="9">
        <v>0</v>
      </c>
      <c r="L392" s="10">
        <v>184100</v>
      </c>
      <c r="M392" s="6">
        <v>115000</v>
      </c>
      <c r="N392" s="6">
        <v>69100</v>
      </c>
      <c r="O392" s="6" t="s">
        <v>24</v>
      </c>
      <c r="P392" s="6" t="s">
        <v>32</v>
      </c>
      <c r="Q392" s="6" t="s">
        <v>26</v>
      </c>
    </row>
    <row r="393" spans="1:17" x14ac:dyDescent="0.3">
      <c r="A393" s="6" t="s">
        <v>866</v>
      </c>
      <c r="B393" s="7">
        <v>45891</v>
      </c>
      <c r="C393" s="6" t="s">
        <v>168</v>
      </c>
      <c r="D393" s="6" t="s">
        <v>169</v>
      </c>
      <c r="E393" s="6" t="s">
        <v>30</v>
      </c>
      <c r="F393" s="6" t="s">
        <v>159</v>
      </c>
      <c r="G393" s="6" t="s">
        <v>78</v>
      </c>
      <c r="H393" s="6" t="s">
        <v>115</v>
      </c>
      <c r="I393" s="6">
        <v>7</v>
      </c>
      <c r="J393" s="8">
        <v>95000</v>
      </c>
      <c r="K393" s="9">
        <v>0</v>
      </c>
      <c r="L393" s="10">
        <v>665000</v>
      </c>
      <c r="M393" s="6">
        <v>406000</v>
      </c>
      <c r="N393" s="6">
        <v>259000</v>
      </c>
      <c r="O393" s="6" t="s">
        <v>31</v>
      </c>
      <c r="P393" s="6" t="s">
        <v>54</v>
      </c>
      <c r="Q393" s="6" t="s">
        <v>26</v>
      </c>
    </row>
    <row r="394" spans="1:17" x14ac:dyDescent="0.3">
      <c r="A394" s="6" t="s">
        <v>867</v>
      </c>
      <c r="B394" s="7">
        <v>45891</v>
      </c>
      <c r="C394" s="6" t="s">
        <v>868</v>
      </c>
      <c r="D394" s="6" t="s">
        <v>869</v>
      </c>
      <c r="E394" s="6" t="s">
        <v>20</v>
      </c>
      <c r="F394" s="6" t="s">
        <v>20</v>
      </c>
      <c r="G394" s="6" t="s">
        <v>38</v>
      </c>
      <c r="H394" s="6" t="s">
        <v>53</v>
      </c>
      <c r="I394" s="6">
        <v>6</v>
      </c>
      <c r="J394" s="8">
        <v>398800</v>
      </c>
      <c r="K394" s="9">
        <v>0.05</v>
      </c>
      <c r="L394" s="10">
        <v>-2273160</v>
      </c>
      <c r="M394" s="6">
        <v>-1680000</v>
      </c>
      <c r="N394" s="6">
        <v>-593160</v>
      </c>
      <c r="O394" s="6" t="s">
        <v>104</v>
      </c>
      <c r="P394" s="6" t="s">
        <v>163</v>
      </c>
      <c r="Q394" s="6" t="s">
        <v>105</v>
      </c>
    </row>
    <row r="395" spans="1:17" x14ac:dyDescent="0.3">
      <c r="A395" s="6" t="s">
        <v>870</v>
      </c>
      <c r="B395" s="7">
        <v>45891</v>
      </c>
      <c r="C395" s="6" t="s">
        <v>871</v>
      </c>
      <c r="D395" s="6" t="s">
        <v>872</v>
      </c>
      <c r="E395" s="6" t="s">
        <v>20</v>
      </c>
      <c r="F395" s="6" t="s">
        <v>21</v>
      </c>
      <c r="G395" s="6" t="s">
        <v>22</v>
      </c>
      <c r="H395" s="6" t="s">
        <v>83</v>
      </c>
      <c r="I395" s="6">
        <v>6</v>
      </c>
      <c r="J395" s="8">
        <v>623200</v>
      </c>
      <c r="K395" s="9">
        <v>0.02</v>
      </c>
      <c r="L395" s="10">
        <v>-3664416</v>
      </c>
      <c r="M395" s="6">
        <v>-2820000</v>
      </c>
      <c r="N395" s="6">
        <v>-844416</v>
      </c>
      <c r="O395" s="6" t="s">
        <v>40</v>
      </c>
      <c r="P395" s="6" t="s">
        <v>163</v>
      </c>
      <c r="Q395" s="6" t="s">
        <v>105</v>
      </c>
    </row>
    <row r="396" spans="1:17" x14ac:dyDescent="0.3">
      <c r="A396" s="6" t="s">
        <v>873</v>
      </c>
      <c r="B396" s="7">
        <v>45892</v>
      </c>
      <c r="C396" s="6" t="s">
        <v>874</v>
      </c>
      <c r="D396" s="6" t="s">
        <v>875</v>
      </c>
      <c r="E396" s="6" t="s">
        <v>87</v>
      </c>
      <c r="F396" s="6" t="s">
        <v>131</v>
      </c>
      <c r="G396" s="6" t="s">
        <v>22</v>
      </c>
      <c r="H396" s="6" t="s">
        <v>49</v>
      </c>
      <c r="I396" s="6">
        <v>1</v>
      </c>
      <c r="J396" s="8">
        <v>1312500</v>
      </c>
      <c r="K396" s="9">
        <v>0</v>
      </c>
      <c r="L396" s="10">
        <v>1312500</v>
      </c>
      <c r="M396" s="6">
        <v>950000</v>
      </c>
      <c r="N396" s="6">
        <v>362500</v>
      </c>
      <c r="O396" s="6" t="s">
        <v>31</v>
      </c>
      <c r="P396" s="6" t="s">
        <v>54</v>
      </c>
      <c r="Q396" s="6" t="s">
        <v>26</v>
      </c>
    </row>
    <row r="397" spans="1:17" x14ac:dyDescent="0.3">
      <c r="A397" s="6" t="s">
        <v>876</v>
      </c>
      <c r="B397" s="7">
        <v>45892</v>
      </c>
      <c r="C397" s="6" t="s">
        <v>489</v>
      </c>
      <c r="D397" s="6" t="s">
        <v>490</v>
      </c>
      <c r="E397" s="6" t="s">
        <v>30</v>
      </c>
      <c r="F397" s="6" t="s">
        <v>159</v>
      </c>
      <c r="G397" s="6" t="s">
        <v>22</v>
      </c>
      <c r="H397" s="6" t="s">
        <v>83</v>
      </c>
      <c r="I397" s="6">
        <v>7</v>
      </c>
      <c r="J397" s="8">
        <v>609000</v>
      </c>
      <c r="K397" s="9">
        <v>0.02</v>
      </c>
      <c r="L397" s="10">
        <v>4177740</v>
      </c>
      <c r="M397" s="6">
        <v>3290000</v>
      </c>
      <c r="N397" s="6">
        <v>887740</v>
      </c>
      <c r="O397" s="6" t="s">
        <v>24</v>
      </c>
      <c r="P397" s="6" t="s">
        <v>63</v>
      </c>
      <c r="Q397" s="6" t="s">
        <v>26</v>
      </c>
    </row>
    <row r="398" spans="1:17" x14ac:dyDescent="0.3">
      <c r="A398" s="6" t="s">
        <v>877</v>
      </c>
      <c r="B398" s="7">
        <v>45892</v>
      </c>
      <c r="C398" s="6" t="s">
        <v>654</v>
      </c>
      <c r="D398" s="6" t="s">
        <v>655</v>
      </c>
      <c r="E398" s="6" t="s">
        <v>20</v>
      </c>
      <c r="F398" s="6" t="s">
        <v>20</v>
      </c>
      <c r="G398" s="6" t="s">
        <v>44</v>
      </c>
      <c r="H398" s="6" t="s">
        <v>89</v>
      </c>
      <c r="I398" s="6">
        <v>2</v>
      </c>
      <c r="J398" s="8">
        <v>181300</v>
      </c>
      <c r="K398" s="9">
        <v>0</v>
      </c>
      <c r="L398" s="10">
        <v>362600</v>
      </c>
      <c r="M398" s="6">
        <v>230000</v>
      </c>
      <c r="N398" s="6">
        <v>132600</v>
      </c>
      <c r="O398" s="6" t="s">
        <v>31</v>
      </c>
      <c r="P398" s="6" t="s">
        <v>63</v>
      </c>
      <c r="Q398" s="6" t="s">
        <v>26</v>
      </c>
    </row>
    <row r="399" spans="1:17" x14ac:dyDescent="0.3">
      <c r="A399" s="6" t="s">
        <v>878</v>
      </c>
      <c r="B399" s="7">
        <v>45892</v>
      </c>
      <c r="C399" s="6" t="s">
        <v>56</v>
      </c>
      <c r="D399" s="6" t="s">
        <v>57</v>
      </c>
      <c r="E399" s="6" t="s">
        <v>20</v>
      </c>
      <c r="F399" s="6" t="s">
        <v>123</v>
      </c>
      <c r="G399" s="6" t="s">
        <v>22</v>
      </c>
      <c r="H399" s="6" t="s">
        <v>58</v>
      </c>
      <c r="I399" s="6">
        <v>5</v>
      </c>
      <c r="J399" s="8">
        <v>88200</v>
      </c>
      <c r="K399" s="9">
        <v>0</v>
      </c>
      <c r="L399" s="10">
        <v>441000</v>
      </c>
      <c r="M399" s="6">
        <v>275000</v>
      </c>
      <c r="N399" s="6">
        <v>166000</v>
      </c>
      <c r="O399" s="6" t="s">
        <v>40</v>
      </c>
      <c r="P399" s="6" t="s">
        <v>90</v>
      </c>
      <c r="Q399" s="6" t="s">
        <v>26</v>
      </c>
    </row>
    <row r="400" spans="1:17" x14ac:dyDescent="0.3">
      <c r="A400" s="6" t="s">
        <v>879</v>
      </c>
      <c r="B400" s="7">
        <v>45893</v>
      </c>
      <c r="C400" s="6" t="s">
        <v>880</v>
      </c>
      <c r="D400" s="6" t="s">
        <v>881</v>
      </c>
      <c r="E400" s="6" t="s">
        <v>20</v>
      </c>
      <c r="F400" s="6" t="s">
        <v>20</v>
      </c>
      <c r="G400" s="6" t="s">
        <v>22</v>
      </c>
      <c r="H400" s="6" t="s">
        <v>23</v>
      </c>
      <c r="I400" s="6">
        <v>1</v>
      </c>
      <c r="J400" s="8">
        <v>387200</v>
      </c>
      <c r="K400" s="9">
        <v>0</v>
      </c>
      <c r="L400" s="10">
        <v>387200</v>
      </c>
      <c r="M400" s="6">
        <v>300000</v>
      </c>
      <c r="N400" s="6">
        <v>87200</v>
      </c>
      <c r="O400" s="6" t="s">
        <v>31</v>
      </c>
      <c r="P400" s="6" t="s">
        <v>32</v>
      </c>
      <c r="Q400" s="6" t="s">
        <v>26</v>
      </c>
    </row>
    <row r="401" spans="1:17" x14ac:dyDescent="0.3">
      <c r="A401" s="6" t="s">
        <v>882</v>
      </c>
      <c r="B401" s="7">
        <v>45893</v>
      </c>
      <c r="C401" s="6" t="s">
        <v>393</v>
      </c>
      <c r="D401" s="6" t="s">
        <v>394</v>
      </c>
      <c r="E401" s="6" t="s">
        <v>30</v>
      </c>
      <c r="F401" s="6" t="s">
        <v>222</v>
      </c>
      <c r="G401" s="6" t="s">
        <v>78</v>
      </c>
      <c r="H401" s="6" t="s">
        <v>115</v>
      </c>
      <c r="I401" s="6">
        <v>5</v>
      </c>
      <c r="J401" s="8">
        <v>97100</v>
      </c>
      <c r="K401" s="9">
        <v>0</v>
      </c>
      <c r="L401" s="10">
        <v>485500</v>
      </c>
      <c r="M401" s="6">
        <v>290000</v>
      </c>
      <c r="N401" s="6">
        <v>195500</v>
      </c>
      <c r="O401" s="6" t="s">
        <v>104</v>
      </c>
      <c r="P401" s="6" t="s">
        <v>74</v>
      </c>
      <c r="Q401" s="6" t="s">
        <v>26</v>
      </c>
    </row>
    <row r="402" spans="1:17" x14ac:dyDescent="0.3">
      <c r="A402" s="6" t="s">
        <v>883</v>
      </c>
      <c r="B402" s="7">
        <v>45894</v>
      </c>
      <c r="C402" s="6" t="s">
        <v>814</v>
      </c>
      <c r="D402" s="6" t="s">
        <v>815</v>
      </c>
      <c r="E402" s="6" t="s">
        <v>36</v>
      </c>
      <c r="F402" s="6" t="s">
        <v>36</v>
      </c>
      <c r="G402" s="6" t="s">
        <v>22</v>
      </c>
      <c r="H402" s="6" t="s">
        <v>58</v>
      </c>
      <c r="I402" s="6">
        <v>2</v>
      </c>
      <c r="J402" s="8">
        <v>98600</v>
      </c>
      <c r="K402" s="9">
        <v>0</v>
      </c>
      <c r="L402" s="10">
        <v>197200</v>
      </c>
      <c r="M402" s="6">
        <v>110000</v>
      </c>
      <c r="N402" s="6">
        <v>87200</v>
      </c>
      <c r="O402" s="6" t="s">
        <v>24</v>
      </c>
      <c r="P402" s="6" t="s">
        <v>54</v>
      </c>
      <c r="Q402" s="6" t="s">
        <v>26</v>
      </c>
    </row>
    <row r="403" spans="1:17" x14ac:dyDescent="0.3">
      <c r="A403" s="6" t="s">
        <v>884</v>
      </c>
      <c r="B403" s="7">
        <v>45894</v>
      </c>
      <c r="C403" s="6" t="s">
        <v>471</v>
      </c>
      <c r="D403" s="6" t="s">
        <v>472</v>
      </c>
      <c r="E403" s="6" t="s">
        <v>30</v>
      </c>
      <c r="F403" s="6" t="s">
        <v>159</v>
      </c>
      <c r="G403" s="6" t="s">
        <v>22</v>
      </c>
      <c r="H403" s="6" t="s">
        <v>58</v>
      </c>
      <c r="I403" s="6">
        <v>7</v>
      </c>
      <c r="J403" s="8">
        <v>98500</v>
      </c>
      <c r="K403" s="9">
        <v>0.15</v>
      </c>
      <c r="L403" s="10">
        <v>586075</v>
      </c>
      <c r="M403" s="6">
        <v>385000</v>
      </c>
      <c r="N403" s="6">
        <v>201075</v>
      </c>
      <c r="O403" s="6" t="s">
        <v>24</v>
      </c>
      <c r="P403" s="6" t="s">
        <v>74</v>
      </c>
      <c r="Q403" s="6" t="s">
        <v>26</v>
      </c>
    </row>
    <row r="404" spans="1:17" x14ac:dyDescent="0.3">
      <c r="A404" s="6" t="s">
        <v>885</v>
      </c>
      <c r="B404" s="7">
        <v>45894</v>
      </c>
      <c r="C404" s="6" t="s">
        <v>886</v>
      </c>
      <c r="D404" s="6" t="s">
        <v>887</v>
      </c>
      <c r="E404" s="6" t="s">
        <v>36</v>
      </c>
      <c r="F404" s="6" t="s">
        <v>155</v>
      </c>
      <c r="G404" s="6" t="s">
        <v>22</v>
      </c>
      <c r="H404" s="6" t="s">
        <v>23</v>
      </c>
      <c r="I404" s="6">
        <v>3</v>
      </c>
      <c r="J404" s="8">
        <v>400100</v>
      </c>
      <c r="K404" s="9">
        <v>0.08</v>
      </c>
      <c r="L404" s="10">
        <v>1104276</v>
      </c>
      <c r="M404" s="6">
        <v>900000</v>
      </c>
      <c r="N404" s="6">
        <v>204276</v>
      </c>
      <c r="O404" s="6" t="s">
        <v>31</v>
      </c>
      <c r="P404" s="6" t="s">
        <v>90</v>
      </c>
      <c r="Q404" s="6" t="s">
        <v>26</v>
      </c>
    </row>
    <row r="405" spans="1:17" x14ac:dyDescent="0.3">
      <c r="A405" s="6" t="s">
        <v>888</v>
      </c>
      <c r="B405" s="7">
        <v>45894</v>
      </c>
      <c r="C405" s="6" t="s">
        <v>889</v>
      </c>
      <c r="D405" s="6" t="s">
        <v>890</v>
      </c>
      <c r="E405" s="6" t="s">
        <v>36</v>
      </c>
      <c r="F405" s="6" t="s">
        <v>36</v>
      </c>
      <c r="G405" s="6" t="s">
        <v>44</v>
      </c>
      <c r="H405" s="6" t="s">
        <v>45</v>
      </c>
      <c r="I405" s="6">
        <v>2</v>
      </c>
      <c r="J405" s="8">
        <v>538000</v>
      </c>
      <c r="K405" s="9">
        <v>0.1</v>
      </c>
      <c r="L405" s="10">
        <v>968400</v>
      </c>
      <c r="M405" s="6">
        <v>730000</v>
      </c>
      <c r="N405" s="6">
        <v>238400</v>
      </c>
      <c r="O405" s="6" t="s">
        <v>24</v>
      </c>
      <c r="P405" s="6" t="s">
        <v>63</v>
      </c>
      <c r="Q405" s="6" t="s">
        <v>26</v>
      </c>
    </row>
    <row r="406" spans="1:17" x14ac:dyDescent="0.3">
      <c r="A406" s="6" t="s">
        <v>891</v>
      </c>
      <c r="B406" s="7">
        <v>45895</v>
      </c>
      <c r="C406" s="6" t="s">
        <v>796</v>
      </c>
      <c r="D406" s="6" t="s">
        <v>797</v>
      </c>
      <c r="E406" s="6" t="s">
        <v>67</v>
      </c>
      <c r="F406" s="6" t="s">
        <v>67</v>
      </c>
      <c r="G406" s="6" t="s">
        <v>44</v>
      </c>
      <c r="H406" s="6" t="s">
        <v>89</v>
      </c>
      <c r="I406" s="6">
        <v>5</v>
      </c>
      <c r="J406" s="8">
        <v>166900</v>
      </c>
      <c r="K406" s="9">
        <v>0.05</v>
      </c>
      <c r="L406" s="10">
        <v>792775</v>
      </c>
      <c r="M406" s="6">
        <v>575000</v>
      </c>
      <c r="N406" s="6">
        <v>217775</v>
      </c>
      <c r="O406" s="6" t="s">
        <v>40</v>
      </c>
      <c r="P406" s="6" t="s">
        <v>25</v>
      </c>
      <c r="Q406" s="6" t="s">
        <v>26</v>
      </c>
    </row>
    <row r="407" spans="1:17" x14ac:dyDescent="0.3">
      <c r="A407" s="6" t="s">
        <v>892</v>
      </c>
      <c r="B407" s="7">
        <v>45896</v>
      </c>
      <c r="C407" s="6" t="s">
        <v>893</v>
      </c>
      <c r="D407" s="6" t="s">
        <v>894</v>
      </c>
      <c r="E407" s="6" t="s">
        <v>36</v>
      </c>
      <c r="F407" s="6" t="s">
        <v>155</v>
      </c>
      <c r="G407" s="6" t="s">
        <v>44</v>
      </c>
      <c r="H407" s="6" t="s">
        <v>45</v>
      </c>
      <c r="I407" s="6">
        <v>2</v>
      </c>
      <c r="J407" s="8">
        <v>545400</v>
      </c>
      <c r="K407" s="9">
        <v>0.15</v>
      </c>
      <c r="L407" s="10">
        <v>927180</v>
      </c>
      <c r="M407" s="6">
        <v>730000</v>
      </c>
      <c r="N407" s="6">
        <v>197180</v>
      </c>
      <c r="O407" s="6" t="s">
        <v>104</v>
      </c>
      <c r="P407" s="6" t="s">
        <v>54</v>
      </c>
      <c r="Q407" s="6" t="s">
        <v>26</v>
      </c>
    </row>
    <row r="408" spans="1:17" x14ac:dyDescent="0.3">
      <c r="A408" s="6" t="s">
        <v>895</v>
      </c>
      <c r="B408" s="7">
        <v>45896</v>
      </c>
      <c r="C408" s="6" t="s">
        <v>810</v>
      </c>
      <c r="D408" s="6" t="s">
        <v>811</v>
      </c>
      <c r="E408" s="6" t="s">
        <v>36</v>
      </c>
      <c r="F408" s="6" t="s">
        <v>37</v>
      </c>
      <c r="G408" s="6" t="s">
        <v>22</v>
      </c>
      <c r="H408" s="6" t="s">
        <v>83</v>
      </c>
      <c r="I408" s="6">
        <v>4</v>
      </c>
      <c r="J408" s="8">
        <v>667100</v>
      </c>
      <c r="K408" s="9">
        <v>0.08</v>
      </c>
      <c r="L408" s="10">
        <v>2454928</v>
      </c>
      <c r="M408" s="6">
        <v>1880000</v>
      </c>
      <c r="N408" s="6">
        <v>574928</v>
      </c>
      <c r="O408" s="6" t="s">
        <v>31</v>
      </c>
      <c r="P408" s="6" t="s">
        <v>25</v>
      </c>
      <c r="Q408" s="6" t="s">
        <v>26</v>
      </c>
    </row>
    <row r="409" spans="1:17" x14ac:dyDescent="0.3">
      <c r="A409" s="6" t="s">
        <v>896</v>
      </c>
      <c r="B409" s="7">
        <v>45896</v>
      </c>
      <c r="C409" s="6" t="s">
        <v>897</v>
      </c>
      <c r="D409" s="6" t="s">
        <v>898</v>
      </c>
      <c r="E409" s="6" t="s">
        <v>20</v>
      </c>
      <c r="F409" s="6" t="s">
        <v>21</v>
      </c>
      <c r="G409" s="6" t="s">
        <v>38</v>
      </c>
      <c r="H409" s="6" t="s">
        <v>39</v>
      </c>
      <c r="I409" s="6">
        <v>4</v>
      </c>
      <c r="J409" s="8">
        <v>29100</v>
      </c>
      <c r="K409" s="9">
        <v>0.02</v>
      </c>
      <c r="L409" s="10">
        <v>114072</v>
      </c>
      <c r="M409" s="6">
        <v>60000</v>
      </c>
      <c r="N409" s="6">
        <v>54072</v>
      </c>
      <c r="O409" s="6" t="s">
        <v>68</v>
      </c>
      <c r="P409" s="6" t="s">
        <v>25</v>
      </c>
      <c r="Q409" s="6" t="s">
        <v>26</v>
      </c>
    </row>
    <row r="410" spans="1:17" x14ac:dyDescent="0.3">
      <c r="A410" s="6" t="s">
        <v>899</v>
      </c>
      <c r="B410" s="7">
        <v>45898</v>
      </c>
      <c r="C410" s="6" t="s">
        <v>399</v>
      </c>
      <c r="D410" s="6" t="s">
        <v>400</v>
      </c>
      <c r="E410" s="6" t="s">
        <v>30</v>
      </c>
      <c r="F410" s="6" t="s">
        <v>30</v>
      </c>
      <c r="G410" s="6" t="s">
        <v>22</v>
      </c>
      <c r="H410" s="6" t="s">
        <v>49</v>
      </c>
      <c r="I410" s="6">
        <v>1</v>
      </c>
      <c r="J410" s="8">
        <v>1315600</v>
      </c>
      <c r="K410" s="9">
        <v>0</v>
      </c>
      <c r="L410" s="10">
        <v>1315600</v>
      </c>
      <c r="M410" s="6">
        <v>950000</v>
      </c>
      <c r="N410" s="6">
        <v>365600</v>
      </c>
      <c r="O410" s="6" t="s">
        <v>40</v>
      </c>
      <c r="P410" s="6" t="s">
        <v>63</v>
      </c>
      <c r="Q410" s="6" t="s">
        <v>26</v>
      </c>
    </row>
    <row r="411" spans="1:17" x14ac:dyDescent="0.3">
      <c r="A411" s="6" t="s">
        <v>900</v>
      </c>
      <c r="B411" s="7">
        <v>45898</v>
      </c>
      <c r="C411" s="6" t="s">
        <v>411</v>
      </c>
      <c r="D411" s="6" t="s">
        <v>412</v>
      </c>
      <c r="E411" s="6" t="s">
        <v>36</v>
      </c>
      <c r="F411" s="6" t="s">
        <v>37</v>
      </c>
      <c r="G411" s="6" t="s">
        <v>44</v>
      </c>
      <c r="H411" s="6" t="s">
        <v>89</v>
      </c>
      <c r="I411" s="6">
        <v>6</v>
      </c>
      <c r="J411" s="8">
        <v>191400</v>
      </c>
      <c r="K411" s="9">
        <v>0.05</v>
      </c>
      <c r="L411" s="10">
        <v>1090980</v>
      </c>
      <c r="M411" s="6">
        <v>690000</v>
      </c>
      <c r="N411" s="6">
        <v>400980</v>
      </c>
      <c r="O411" s="6" t="s">
        <v>31</v>
      </c>
      <c r="P411" s="6" t="s">
        <v>90</v>
      </c>
      <c r="Q411" s="6" t="s">
        <v>26</v>
      </c>
    </row>
    <row r="412" spans="1:17" x14ac:dyDescent="0.3">
      <c r="A412" s="6" t="s">
        <v>901</v>
      </c>
      <c r="B412" s="7">
        <v>45899</v>
      </c>
      <c r="C412" s="6" t="s">
        <v>121</v>
      </c>
      <c r="D412" s="6" t="s">
        <v>122</v>
      </c>
      <c r="E412" s="6" t="s">
        <v>67</v>
      </c>
      <c r="F412" s="6" t="s">
        <v>100</v>
      </c>
      <c r="G412" s="6" t="s">
        <v>38</v>
      </c>
      <c r="H412" s="6" t="s">
        <v>127</v>
      </c>
      <c r="I412" s="6">
        <v>2</v>
      </c>
      <c r="J412" s="8">
        <v>228400</v>
      </c>
      <c r="K412" s="9">
        <v>0.15</v>
      </c>
      <c r="L412" s="10">
        <v>388280</v>
      </c>
      <c r="M412" s="6">
        <v>330000</v>
      </c>
      <c r="N412" s="6">
        <v>58280</v>
      </c>
      <c r="O412" s="6" t="s">
        <v>104</v>
      </c>
      <c r="P412" s="6" t="s">
        <v>74</v>
      </c>
      <c r="Q412" s="6" t="s">
        <v>26</v>
      </c>
    </row>
    <row r="413" spans="1:17" x14ac:dyDescent="0.3">
      <c r="A413" s="6" t="s">
        <v>902</v>
      </c>
      <c r="B413" s="7">
        <v>45900</v>
      </c>
      <c r="C413" s="6" t="s">
        <v>903</v>
      </c>
      <c r="D413" s="6" t="s">
        <v>904</v>
      </c>
      <c r="E413" s="6" t="s">
        <v>67</v>
      </c>
      <c r="F413" s="6" t="s">
        <v>100</v>
      </c>
      <c r="G413" s="6" t="s">
        <v>78</v>
      </c>
      <c r="H413" s="6" t="s">
        <v>188</v>
      </c>
      <c r="I413" s="6">
        <v>7</v>
      </c>
      <c r="J413" s="8">
        <v>88500</v>
      </c>
      <c r="K413" s="9">
        <v>0.08</v>
      </c>
      <c r="L413" s="10">
        <v>569940</v>
      </c>
      <c r="M413" s="6">
        <v>364000</v>
      </c>
      <c r="N413" s="6">
        <v>205940</v>
      </c>
      <c r="O413" s="6" t="s">
        <v>31</v>
      </c>
      <c r="P413" s="6" t="s">
        <v>63</v>
      </c>
      <c r="Q413" s="6" t="s">
        <v>26</v>
      </c>
    </row>
    <row r="414" spans="1:17" x14ac:dyDescent="0.3">
      <c r="A414" s="6" t="s">
        <v>905</v>
      </c>
      <c r="B414" s="7">
        <v>45900</v>
      </c>
      <c r="C414" s="6" t="s">
        <v>728</v>
      </c>
      <c r="D414" s="6" t="s">
        <v>729</v>
      </c>
      <c r="E414" s="6" t="s">
        <v>20</v>
      </c>
      <c r="F414" s="6" t="s">
        <v>20</v>
      </c>
      <c r="G414" s="6" t="s">
        <v>78</v>
      </c>
      <c r="H414" s="6" t="s">
        <v>318</v>
      </c>
      <c r="I414" s="6">
        <v>6</v>
      </c>
      <c r="J414" s="8">
        <v>73800</v>
      </c>
      <c r="K414" s="9">
        <v>0.15</v>
      </c>
      <c r="L414" s="10">
        <v>-376380</v>
      </c>
      <c r="M414" s="6">
        <v>-258000</v>
      </c>
      <c r="N414" s="6">
        <v>-118380</v>
      </c>
      <c r="O414" s="6" t="s">
        <v>40</v>
      </c>
      <c r="P414" s="6" t="s">
        <v>32</v>
      </c>
      <c r="Q414" s="6" t="s">
        <v>105</v>
      </c>
    </row>
    <row r="415" spans="1:17" x14ac:dyDescent="0.3">
      <c r="A415" s="6" t="s">
        <v>906</v>
      </c>
      <c r="B415" s="7">
        <v>45900</v>
      </c>
      <c r="C415" s="6" t="s">
        <v>907</v>
      </c>
      <c r="D415" s="6" t="s">
        <v>908</v>
      </c>
      <c r="E415" s="6" t="s">
        <v>36</v>
      </c>
      <c r="F415" s="6" t="s">
        <v>37</v>
      </c>
      <c r="G415" s="6" t="s">
        <v>22</v>
      </c>
      <c r="H415" s="6" t="s">
        <v>23</v>
      </c>
      <c r="I415" s="6">
        <v>5</v>
      </c>
      <c r="J415" s="8">
        <v>431700</v>
      </c>
      <c r="K415" s="9">
        <v>0.08</v>
      </c>
      <c r="L415" s="10">
        <v>1985820</v>
      </c>
      <c r="M415" s="6">
        <v>1500000</v>
      </c>
      <c r="N415" s="6">
        <v>485820</v>
      </c>
      <c r="O415" s="6" t="s">
        <v>31</v>
      </c>
      <c r="P415" s="6" t="s">
        <v>63</v>
      </c>
      <c r="Q415" s="6" t="s">
        <v>26</v>
      </c>
    </row>
    <row r="416" spans="1:17" x14ac:dyDescent="0.3">
      <c r="A416" s="6" t="s">
        <v>909</v>
      </c>
      <c r="B416" s="7">
        <v>45901</v>
      </c>
      <c r="C416" s="6" t="s">
        <v>356</v>
      </c>
      <c r="D416" s="6" t="s">
        <v>357</v>
      </c>
      <c r="E416" s="6" t="s">
        <v>36</v>
      </c>
      <c r="F416" s="6" t="s">
        <v>155</v>
      </c>
      <c r="G416" s="6" t="s">
        <v>78</v>
      </c>
      <c r="H416" s="6" t="s">
        <v>318</v>
      </c>
      <c r="I416" s="6">
        <v>5</v>
      </c>
      <c r="J416" s="8">
        <v>74400</v>
      </c>
      <c r="K416" s="9">
        <v>0</v>
      </c>
      <c r="L416" s="10">
        <v>-372000</v>
      </c>
      <c r="M416" s="6">
        <v>-215000</v>
      </c>
      <c r="N416" s="6">
        <v>-157000</v>
      </c>
      <c r="O416" s="6" t="s">
        <v>68</v>
      </c>
      <c r="P416" s="6" t="s">
        <v>90</v>
      </c>
      <c r="Q416" s="6" t="s">
        <v>105</v>
      </c>
    </row>
    <row r="417" spans="1:17" x14ac:dyDescent="0.3">
      <c r="A417" s="6" t="s">
        <v>910</v>
      </c>
      <c r="B417" s="7">
        <v>45901</v>
      </c>
      <c r="C417" s="6" t="s">
        <v>610</v>
      </c>
      <c r="D417" s="6" t="s">
        <v>611</v>
      </c>
      <c r="E417" s="6" t="s">
        <v>20</v>
      </c>
      <c r="F417" s="6" t="s">
        <v>62</v>
      </c>
      <c r="G417" s="6" t="s">
        <v>78</v>
      </c>
      <c r="H417" s="6" t="s">
        <v>115</v>
      </c>
      <c r="I417" s="6">
        <v>1</v>
      </c>
      <c r="J417" s="8">
        <v>96900</v>
      </c>
      <c r="K417" s="9">
        <v>0.05</v>
      </c>
      <c r="L417" s="10">
        <v>92055</v>
      </c>
      <c r="M417" s="6">
        <v>58000</v>
      </c>
      <c r="N417" s="6">
        <v>34055</v>
      </c>
      <c r="O417" s="6" t="s">
        <v>104</v>
      </c>
      <c r="P417" s="6" t="s">
        <v>54</v>
      </c>
      <c r="Q417" s="6" t="s">
        <v>26</v>
      </c>
    </row>
    <row r="418" spans="1:17" x14ac:dyDescent="0.3">
      <c r="A418" s="6" t="s">
        <v>911</v>
      </c>
      <c r="B418" s="7">
        <v>45902</v>
      </c>
      <c r="C418" s="6" t="s">
        <v>290</v>
      </c>
      <c r="D418" s="6" t="s">
        <v>291</v>
      </c>
      <c r="E418" s="6" t="s">
        <v>20</v>
      </c>
      <c r="F418" s="6" t="s">
        <v>123</v>
      </c>
      <c r="G418" s="6" t="s">
        <v>22</v>
      </c>
      <c r="H418" s="6" t="s">
        <v>23</v>
      </c>
      <c r="I418" s="6">
        <v>3</v>
      </c>
      <c r="J418" s="8">
        <v>387400</v>
      </c>
      <c r="K418" s="9">
        <v>0.02</v>
      </c>
      <c r="L418" s="10">
        <v>1138956</v>
      </c>
      <c r="M418" s="6">
        <v>900000</v>
      </c>
      <c r="N418" s="6">
        <v>238956</v>
      </c>
      <c r="O418" s="6" t="s">
        <v>24</v>
      </c>
      <c r="P418" s="6" t="s">
        <v>119</v>
      </c>
      <c r="Q418" s="6" t="s">
        <v>26</v>
      </c>
    </row>
    <row r="419" spans="1:17" x14ac:dyDescent="0.3">
      <c r="A419" s="6" t="s">
        <v>912</v>
      </c>
      <c r="B419" s="7">
        <v>45903</v>
      </c>
      <c r="C419" s="6" t="s">
        <v>365</v>
      </c>
      <c r="D419" s="6" t="s">
        <v>366</v>
      </c>
      <c r="E419" s="6" t="s">
        <v>20</v>
      </c>
      <c r="F419" s="6" t="s">
        <v>123</v>
      </c>
      <c r="G419" s="6" t="s">
        <v>78</v>
      </c>
      <c r="H419" s="6" t="s">
        <v>188</v>
      </c>
      <c r="I419" s="6">
        <v>7</v>
      </c>
      <c r="J419" s="8">
        <v>83900</v>
      </c>
      <c r="K419" s="9">
        <v>0.08</v>
      </c>
      <c r="L419" s="10">
        <v>-540316</v>
      </c>
      <c r="M419" s="6">
        <v>-364000</v>
      </c>
      <c r="N419" s="6">
        <v>-176316</v>
      </c>
      <c r="O419" s="6" t="s">
        <v>31</v>
      </c>
      <c r="P419" s="6" t="s">
        <v>74</v>
      </c>
      <c r="Q419" s="6" t="s">
        <v>105</v>
      </c>
    </row>
    <row r="420" spans="1:17" x14ac:dyDescent="0.3">
      <c r="A420" s="6" t="s">
        <v>913</v>
      </c>
      <c r="B420" s="7">
        <v>45903</v>
      </c>
      <c r="C420" s="6" t="s">
        <v>353</v>
      </c>
      <c r="D420" s="6" t="s">
        <v>354</v>
      </c>
      <c r="E420" s="6" t="s">
        <v>67</v>
      </c>
      <c r="F420" s="6" t="s">
        <v>100</v>
      </c>
      <c r="G420" s="6" t="s">
        <v>22</v>
      </c>
      <c r="H420" s="6" t="s">
        <v>23</v>
      </c>
      <c r="I420" s="6">
        <v>7</v>
      </c>
      <c r="J420" s="8">
        <v>400000</v>
      </c>
      <c r="K420" s="9">
        <v>0</v>
      </c>
      <c r="L420" s="10">
        <v>2800000</v>
      </c>
      <c r="M420" s="6">
        <v>2100000</v>
      </c>
      <c r="N420" s="6">
        <v>700000</v>
      </c>
      <c r="O420" s="6" t="s">
        <v>24</v>
      </c>
      <c r="P420" s="6" t="s">
        <v>54</v>
      </c>
      <c r="Q420" s="6" t="s">
        <v>26</v>
      </c>
    </row>
    <row r="421" spans="1:17" x14ac:dyDescent="0.3">
      <c r="A421" s="6" t="s">
        <v>914</v>
      </c>
      <c r="B421" s="7">
        <v>45904</v>
      </c>
      <c r="C421" s="6" t="s">
        <v>81</v>
      </c>
      <c r="D421" s="6" t="s">
        <v>82</v>
      </c>
      <c r="E421" s="6" t="s">
        <v>20</v>
      </c>
      <c r="F421" s="6" t="s">
        <v>123</v>
      </c>
      <c r="G421" s="6" t="s">
        <v>22</v>
      </c>
      <c r="H421" s="6" t="s">
        <v>23</v>
      </c>
      <c r="I421" s="6">
        <v>6</v>
      </c>
      <c r="J421" s="8">
        <v>450900</v>
      </c>
      <c r="K421" s="9">
        <v>0.05</v>
      </c>
      <c r="L421" s="10">
        <v>2570130</v>
      </c>
      <c r="M421" s="6">
        <v>1800000</v>
      </c>
      <c r="N421" s="6">
        <v>770130</v>
      </c>
      <c r="O421" s="6" t="s">
        <v>40</v>
      </c>
      <c r="P421" s="6" t="s">
        <v>90</v>
      </c>
      <c r="Q421" s="6" t="s">
        <v>26</v>
      </c>
    </row>
    <row r="422" spans="1:17" x14ac:dyDescent="0.3">
      <c r="A422" s="6" t="s">
        <v>915</v>
      </c>
      <c r="B422" s="7">
        <v>45904</v>
      </c>
      <c r="C422" s="6" t="s">
        <v>791</v>
      </c>
      <c r="D422" s="6" t="s">
        <v>792</v>
      </c>
      <c r="E422" s="6" t="s">
        <v>30</v>
      </c>
      <c r="F422" s="6" t="s">
        <v>159</v>
      </c>
      <c r="G422" s="6" t="s">
        <v>22</v>
      </c>
      <c r="H422" s="6" t="s">
        <v>58</v>
      </c>
      <c r="I422" s="6">
        <v>1</v>
      </c>
      <c r="J422" s="8">
        <v>96900</v>
      </c>
      <c r="K422" s="9">
        <v>0.05</v>
      </c>
      <c r="L422" s="10">
        <v>92055</v>
      </c>
      <c r="M422" s="6">
        <v>55000</v>
      </c>
      <c r="N422" s="6">
        <v>37055</v>
      </c>
      <c r="O422" s="6" t="s">
        <v>104</v>
      </c>
      <c r="P422" s="6" t="s">
        <v>74</v>
      </c>
      <c r="Q422" s="6" t="s">
        <v>26</v>
      </c>
    </row>
    <row r="423" spans="1:17" x14ac:dyDescent="0.3">
      <c r="A423" s="6" t="s">
        <v>916</v>
      </c>
      <c r="B423" s="7">
        <v>45904</v>
      </c>
      <c r="C423" s="6" t="s">
        <v>917</v>
      </c>
      <c r="D423" s="6" t="s">
        <v>918</v>
      </c>
      <c r="E423" s="6" t="s">
        <v>67</v>
      </c>
      <c r="F423" s="6" t="s">
        <v>100</v>
      </c>
      <c r="G423" s="6" t="s">
        <v>38</v>
      </c>
      <c r="H423" s="6" t="s">
        <v>127</v>
      </c>
      <c r="I423" s="6">
        <v>3</v>
      </c>
      <c r="J423" s="8">
        <v>240600</v>
      </c>
      <c r="K423" s="9">
        <v>0.1</v>
      </c>
      <c r="L423" s="10">
        <v>649620</v>
      </c>
      <c r="M423" s="6">
        <v>495000</v>
      </c>
      <c r="N423" s="6">
        <v>154620</v>
      </c>
      <c r="O423" s="6" t="s">
        <v>68</v>
      </c>
      <c r="P423" s="6" t="s">
        <v>90</v>
      </c>
      <c r="Q423" s="6" t="s">
        <v>26</v>
      </c>
    </row>
    <row r="424" spans="1:17" x14ac:dyDescent="0.3">
      <c r="A424" s="6" t="s">
        <v>919</v>
      </c>
      <c r="B424" s="7">
        <v>45905</v>
      </c>
      <c r="C424" s="6" t="s">
        <v>161</v>
      </c>
      <c r="D424" s="6" t="s">
        <v>162</v>
      </c>
      <c r="E424" s="6" t="s">
        <v>20</v>
      </c>
      <c r="F424" s="6" t="s">
        <v>123</v>
      </c>
      <c r="G424" s="6" t="s">
        <v>38</v>
      </c>
      <c r="H424" s="6" t="s">
        <v>214</v>
      </c>
      <c r="I424" s="6">
        <v>2</v>
      </c>
      <c r="J424" s="8">
        <v>46500</v>
      </c>
      <c r="K424" s="9">
        <v>0</v>
      </c>
      <c r="L424" s="10">
        <v>93000</v>
      </c>
      <c r="M424" s="6">
        <v>52000</v>
      </c>
      <c r="N424" s="6">
        <v>41000</v>
      </c>
      <c r="O424" s="6" t="s">
        <v>24</v>
      </c>
      <c r="P424" s="6" t="s">
        <v>32</v>
      </c>
      <c r="Q424" s="6" t="s">
        <v>26</v>
      </c>
    </row>
    <row r="425" spans="1:17" x14ac:dyDescent="0.3">
      <c r="A425" s="6" t="s">
        <v>920</v>
      </c>
      <c r="B425" s="7">
        <v>45905</v>
      </c>
      <c r="C425" s="6" t="s">
        <v>442</v>
      </c>
      <c r="D425" s="6" t="s">
        <v>443</v>
      </c>
      <c r="E425" s="6" t="s">
        <v>87</v>
      </c>
      <c r="F425" s="6" t="s">
        <v>135</v>
      </c>
      <c r="G425" s="6" t="s">
        <v>78</v>
      </c>
      <c r="H425" s="6" t="s">
        <v>318</v>
      </c>
      <c r="I425" s="6">
        <v>7</v>
      </c>
      <c r="J425" s="8">
        <v>73800</v>
      </c>
      <c r="K425" s="9">
        <v>0.02</v>
      </c>
      <c r="L425" s="10">
        <v>506268</v>
      </c>
      <c r="M425" s="6">
        <v>301000</v>
      </c>
      <c r="N425" s="6">
        <v>205268</v>
      </c>
      <c r="O425" s="6" t="s">
        <v>68</v>
      </c>
      <c r="P425" s="6" t="s">
        <v>32</v>
      </c>
      <c r="Q425" s="6" t="s">
        <v>26</v>
      </c>
    </row>
    <row r="426" spans="1:17" x14ac:dyDescent="0.3">
      <c r="A426" s="6" t="s">
        <v>921</v>
      </c>
      <c r="B426" s="7">
        <v>45906</v>
      </c>
      <c r="C426" s="6" t="s">
        <v>529</v>
      </c>
      <c r="D426" s="6" t="s">
        <v>530</v>
      </c>
      <c r="E426" s="6" t="s">
        <v>30</v>
      </c>
      <c r="F426" s="6" t="s">
        <v>30</v>
      </c>
      <c r="G426" s="6" t="s">
        <v>44</v>
      </c>
      <c r="H426" s="6" t="s">
        <v>89</v>
      </c>
      <c r="I426" s="6">
        <v>3</v>
      </c>
      <c r="J426" s="8">
        <v>168400</v>
      </c>
      <c r="K426" s="9">
        <v>0.1</v>
      </c>
      <c r="L426" s="10">
        <v>454680</v>
      </c>
      <c r="M426" s="6">
        <v>345000</v>
      </c>
      <c r="N426" s="6">
        <v>109680</v>
      </c>
      <c r="O426" s="6" t="s">
        <v>24</v>
      </c>
      <c r="P426" s="6" t="s">
        <v>54</v>
      </c>
      <c r="Q426" s="6" t="s">
        <v>26</v>
      </c>
    </row>
    <row r="427" spans="1:17" x14ac:dyDescent="0.3">
      <c r="A427" s="6" t="s">
        <v>922</v>
      </c>
      <c r="B427" s="7">
        <v>45906</v>
      </c>
      <c r="C427" s="6" t="s">
        <v>268</v>
      </c>
      <c r="D427" s="6" t="s">
        <v>269</v>
      </c>
      <c r="E427" s="6" t="s">
        <v>20</v>
      </c>
      <c r="F427" s="6" t="s">
        <v>20</v>
      </c>
      <c r="G427" s="6" t="s">
        <v>78</v>
      </c>
      <c r="H427" s="6" t="s">
        <v>115</v>
      </c>
      <c r="I427" s="6">
        <v>4</v>
      </c>
      <c r="J427" s="8">
        <v>84900</v>
      </c>
      <c r="K427" s="9">
        <v>0.02</v>
      </c>
      <c r="L427" s="10">
        <v>-332808</v>
      </c>
      <c r="M427" s="6">
        <v>-232000</v>
      </c>
      <c r="N427" s="6">
        <v>-100808</v>
      </c>
      <c r="O427" s="6" t="s">
        <v>68</v>
      </c>
      <c r="P427" s="6" t="s">
        <v>25</v>
      </c>
      <c r="Q427" s="6" t="s">
        <v>105</v>
      </c>
    </row>
    <row r="428" spans="1:17" x14ac:dyDescent="0.3">
      <c r="A428" s="6" t="s">
        <v>923</v>
      </c>
      <c r="B428" s="7">
        <v>45907</v>
      </c>
      <c r="C428" s="6" t="s">
        <v>557</v>
      </c>
      <c r="D428" s="6" t="s">
        <v>558</v>
      </c>
      <c r="E428" s="6" t="s">
        <v>30</v>
      </c>
      <c r="F428" s="6" t="s">
        <v>159</v>
      </c>
      <c r="G428" s="6" t="s">
        <v>38</v>
      </c>
      <c r="H428" s="6" t="s">
        <v>39</v>
      </c>
      <c r="I428" s="6">
        <v>5</v>
      </c>
      <c r="J428" s="8">
        <v>28500</v>
      </c>
      <c r="K428" s="9">
        <v>0.1</v>
      </c>
      <c r="L428" s="10">
        <v>128250</v>
      </c>
      <c r="M428" s="6">
        <v>75000</v>
      </c>
      <c r="N428" s="6">
        <v>53250</v>
      </c>
      <c r="O428" s="6" t="s">
        <v>31</v>
      </c>
      <c r="P428" s="6" t="s">
        <v>90</v>
      </c>
      <c r="Q428" s="6" t="s">
        <v>26</v>
      </c>
    </row>
    <row r="429" spans="1:17" x14ac:dyDescent="0.3">
      <c r="A429" s="6" t="s">
        <v>924</v>
      </c>
      <c r="B429" s="7">
        <v>45910</v>
      </c>
      <c r="C429" s="6" t="s">
        <v>766</v>
      </c>
      <c r="D429" s="6" t="s">
        <v>767</v>
      </c>
      <c r="E429" s="6" t="s">
        <v>20</v>
      </c>
      <c r="F429" s="6" t="s">
        <v>62</v>
      </c>
      <c r="G429" s="6" t="s">
        <v>44</v>
      </c>
      <c r="H429" s="6" t="s">
        <v>45</v>
      </c>
      <c r="I429" s="6">
        <v>3</v>
      </c>
      <c r="J429" s="8">
        <v>528500</v>
      </c>
      <c r="K429" s="9">
        <v>0.08</v>
      </c>
      <c r="L429" s="10">
        <v>1458660</v>
      </c>
      <c r="M429" s="6">
        <v>1095000</v>
      </c>
      <c r="N429" s="6">
        <v>363660</v>
      </c>
      <c r="O429" s="6" t="s">
        <v>104</v>
      </c>
      <c r="P429" s="6" t="s">
        <v>119</v>
      </c>
      <c r="Q429" s="6" t="s">
        <v>26</v>
      </c>
    </row>
    <row r="430" spans="1:17" x14ac:dyDescent="0.3">
      <c r="A430" s="6" t="s">
        <v>925</v>
      </c>
      <c r="B430" s="7">
        <v>45910</v>
      </c>
      <c r="C430" s="6" t="s">
        <v>428</v>
      </c>
      <c r="D430" s="6" t="s">
        <v>429</v>
      </c>
      <c r="E430" s="6" t="s">
        <v>20</v>
      </c>
      <c r="F430" s="6" t="s">
        <v>21</v>
      </c>
      <c r="G430" s="6" t="s">
        <v>38</v>
      </c>
      <c r="H430" s="6" t="s">
        <v>39</v>
      </c>
      <c r="I430" s="6">
        <v>6</v>
      </c>
      <c r="J430" s="8">
        <v>28100</v>
      </c>
      <c r="K430" s="9">
        <v>0.08</v>
      </c>
      <c r="L430" s="10">
        <v>-155112</v>
      </c>
      <c r="M430" s="6">
        <v>-90000</v>
      </c>
      <c r="N430" s="6">
        <v>-65112</v>
      </c>
      <c r="O430" s="6" t="s">
        <v>104</v>
      </c>
      <c r="P430" s="6" t="s">
        <v>74</v>
      </c>
      <c r="Q430" s="6" t="s">
        <v>105</v>
      </c>
    </row>
    <row r="431" spans="1:17" x14ac:dyDescent="0.3">
      <c r="A431" s="6" t="s">
        <v>926</v>
      </c>
      <c r="B431" s="7">
        <v>45910</v>
      </c>
      <c r="C431" s="6" t="s">
        <v>619</v>
      </c>
      <c r="D431" s="6" t="s">
        <v>620</v>
      </c>
      <c r="E431" s="6" t="s">
        <v>87</v>
      </c>
      <c r="F431" s="6" t="s">
        <v>88</v>
      </c>
      <c r="G431" s="6" t="s">
        <v>38</v>
      </c>
      <c r="H431" s="6" t="s">
        <v>127</v>
      </c>
      <c r="I431" s="6">
        <v>2</v>
      </c>
      <c r="J431" s="8">
        <v>236800</v>
      </c>
      <c r="K431" s="9">
        <v>0.05</v>
      </c>
      <c r="L431" s="10">
        <v>449920</v>
      </c>
      <c r="M431" s="6">
        <v>330000</v>
      </c>
      <c r="N431" s="6">
        <v>119920</v>
      </c>
      <c r="O431" s="6" t="s">
        <v>40</v>
      </c>
      <c r="P431" s="6" t="s">
        <v>25</v>
      </c>
      <c r="Q431" s="6" t="s">
        <v>26</v>
      </c>
    </row>
    <row r="432" spans="1:17" x14ac:dyDescent="0.3">
      <c r="A432" s="6" t="s">
        <v>927</v>
      </c>
      <c r="B432" s="7">
        <v>45912</v>
      </c>
      <c r="C432" s="6" t="s">
        <v>461</v>
      </c>
      <c r="D432" s="6" t="s">
        <v>462</v>
      </c>
      <c r="E432" s="6" t="s">
        <v>30</v>
      </c>
      <c r="F432" s="6" t="s">
        <v>30</v>
      </c>
      <c r="G432" s="6" t="s">
        <v>38</v>
      </c>
      <c r="H432" s="6" t="s">
        <v>127</v>
      </c>
      <c r="I432" s="6">
        <v>3</v>
      </c>
      <c r="J432" s="8">
        <v>247500</v>
      </c>
      <c r="K432" s="9">
        <v>0.15</v>
      </c>
      <c r="L432" s="10">
        <v>0</v>
      </c>
      <c r="M432" s="6">
        <v>0</v>
      </c>
      <c r="N432" s="6">
        <v>0</v>
      </c>
      <c r="O432" s="6" t="s">
        <v>31</v>
      </c>
      <c r="P432" s="6" t="s">
        <v>119</v>
      </c>
      <c r="Q432" s="6" t="s">
        <v>69</v>
      </c>
    </row>
    <row r="433" spans="1:17" x14ac:dyDescent="0.3">
      <c r="A433" s="6" t="s">
        <v>928</v>
      </c>
      <c r="B433" s="7">
        <v>45913</v>
      </c>
      <c r="C433" s="6" t="s">
        <v>573</v>
      </c>
      <c r="D433" s="6" t="s">
        <v>574</v>
      </c>
      <c r="E433" s="6" t="s">
        <v>36</v>
      </c>
      <c r="F433" s="6" t="s">
        <v>155</v>
      </c>
      <c r="G433" s="6" t="s">
        <v>22</v>
      </c>
      <c r="H433" s="6" t="s">
        <v>58</v>
      </c>
      <c r="I433" s="6">
        <v>5</v>
      </c>
      <c r="J433" s="8">
        <v>98500</v>
      </c>
      <c r="K433" s="9">
        <v>0</v>
      </c>
      <c r="L433" s="10">
        <v>492500</v>
      </c>
      <c r="M433" s="6">
        <v>275000</v>
      </c>
      <c r="N433" s="6">
        <v>217500</v>
      </c>
      <c r="O433" s="6" t="s">
        <v>24</v>
      </c>
      <c r="P433" s="6" t="s">
        <v>25</v>
      </c>
      <c r="Q433" s="6" t="s">
        <v>26</v>
      </c>
    </row>
    <row r="434" spans="1:17" x14ac:dyDescent="0.3">
      <c r="A434" s="6" t="s">
        <v>929</v>
      </c>
      <c r="B434" s="7">
        <v>45913</v>
      </c>
      <c r="C434" s="6" t="s">
        <v>600</v>
      </c>
      <c r="D434" s="6" t="s">
        <v>601</v>
      </c>
      <c r="E434" s="6" t="s">
        <v>36</v>
      </c>
      <c r="F434" s="6" t="s">
        <v>37</v>
      </c>
      <c r="G434" s="6" t="s">
        <v>78</v>
      </c>
      <c r="H434" s="6" t="s">
        <v>318</v>
      </c>
      <c r="I434" s="6">
        <v>4</v>
      </c>
      <c r="J434" s="8">
        <v>80700</v>
      </c>
      <c r="K434" s="9">
        <v>0.08</v>
      </c>
      <c r="L434" s="10">
        <v>296976</v>
      </c>
      <c r="M434" s="6">
        <v>172000</v>
      </c>
      <c r="N434" s="6">
        <v>124976</v>
      </c>
      <c r="O434" s="6" t="s">
        <v>104</v>
      </c>
      <c r="P434" s="6" t="s">
        <v>74</v>
      </c>
      <c r="Q434" s="6" t="s">
        <v>26</v>
      </c>
    </row>
    <row r="435" spans="1:17" x14ac:dyDescent="0.3">
      <c r="A435" s="6" t="s">
        <v>930</v>
      </c>
      <c r="B435" s="7">
        <v>45913</v>
      </c>
      <c r="C435" s="6" t="s">
        <v>381</v>
      </c>
      <c r="D435" s="6" t="s">
        <v>382</v>
      </c>
      <c r="E435" s="6" t="s">
        <v>36</v>
      </c>
      <c r="F435" s="6" t="s">
        <v>155</v>
      </c>
      <c r="G435" s="6" t="s">
        <v>38</v>
      </c>
      <c r="H435" s="6" t="s">
        <v>127</v>
      </c>
      <c r="I435" s="6">
        <v>2</v>
      </c>
      <c r="J435" s="8">
        <v>253000</v>
      </c>
      <c r="K435" s="9">
        <v>0</v>
      </c>
      <c r="L435" s="10">
        <v>506000</v>
      </c>
      <c r="M435" s="6">
        <v>330000</v>
      </c>
      <c r="N435" s="6">
        <v>176000</v>
      </c>
      <c r="O435" s="6" t="s">
        <v>68</v>
      </c>
      <c r="P435" s="6" t="s">
        <v>119</v>
      </c>
      <c r="Q435" s="6" t="s">
        <v>26</v>
      </c>
    </row>
    <row r="436" spans="1:17" x14ac:dyDescent="0.3">
      <c r="A436" s="6" t="s">
        <v>931</v>
      </c>
      <c r="B436" s="7">
        <v>45914</v>
      </c>
      <c r="C436" s="6" t="s">
        <v>220</v>
      </c>
      <c r="D436" s="6" t="s">
        <v>221</v>
      </c>
      <c r="E436" s="6" t="s">
        <v>87</v>
      </c>
      <c r="F436" s="6" t="s">
        <v>131</v>
      </c>
      <c r="G436" s="6" t="s">
        <v>38</v>
      </c>
      <c r="H436" s="6" t="s">
        <v>214</v>
      </c>
      <c r="I436" s="6">
        <v>5</v>
      </c>
      <c r="J436" s="8">
        <v>42400</v>
      </c>
      <c r="K436" s="9">
        <v>0.05</v>
      </c>
      <c r="L436" s="10">
        <v>201400</v>
      </c>
      <c r="M436" s="6">
        <v>130000</v>
      </c>
      <c r="N436" s="6">
        <v>71400</v>
      </c>
      <c r="O436" s="6" t="s">
        <v>40</v>
      </c>
      <c r="P436" s="6" t="s">
        <v>32</v>
      </c>
      <c r="Q436" s="6" t="s">
        <v>26</v>
      </c>
    </row>
    <row r="437" spans="1:17" x14ac:dyDescent="0.3">
      <c r="A437" s="6" t="s">
        <v>932</v>
      </c>
      <c r="B437" s="7">
        <v>45914</v>
      </c>
      <c r="C437" s="6" t="s">
        <v>256</v>
      </c>
      <c r="D437" s="6" t="s">
        <v>257</v>
      </c>
      <c r="E437" s="6" t="s">
        <v>36</v>
      </c>
      <c r="F437" s="6" t="s">
        <v>36</v>
      </c>
      <c r="G437" s="6" t="s">
        <v>78</v>
      </c>
      <c r="H437" s="6" t="s">
        <v>188</v>
      </c>
      <c r="I437" s="6">
        <v>7</v>
      </c>
      <c r="J437" s="8">
        <v>87400</v>
      </c>
      <c r="K437" s="9">
        <v>0.08</v>
      </c>
      <c r="L437" s="10">
        <v>562856</v>
      </c>
      <c r="M437" s="6">
        <v>364000</v>
      </c>
      <c r="N437" s="6">
        <v>198856</v>
      </c>
      <c r="O437" s="6" t="s">
        <v>104</v>
      </c>
      <c r="P437" s="6" t="s">
        <v>25</v>
      </c>
      <c r="Q437" s="6" t="s">
        <v>26</v>
      </c>
    </row>
    <row r="438" spans="1:17" x14ac:dyDescent="0.3">
      <c r="A438" s="6" t="s">
        <v>933</v>
      </c>
      <c r="B438" s="7">
        <v>45915</v>
      </c>
      <c r="C438" s="6" t="s">
        <v>65</v>
      </c>
      <c r="D438" s="6" t="s">
        <v>66</v>
      </c>
      <c r="E438" s="6" t="s">
        <v>67</v>
      </c>
      <c r="F438" s="6" t="s">
        <v>236</v>
      </c>
      <c r="G438" s="6" t="s">
        <v>22</v>
      </c>
      <c r="H438" s="6" t="s">
        <v>83</v>
      </c>
      <c r="I438" s="6">
        <v>3</v>
      </c>
      <c r="J438" s="8">
        <v>682500</v>
      </c>
      <c r="K438" s="9">
        <v>0.08</v>
      </c>
      <c r="L438" s="10">
        <v>1883700</v>
      </c>
      <c r="M438" s="6">
        <v>1410000</v>
      </c>
      <c r="N438" s="6">
        <v>473700</v>
      </c>
      <c r="O438" s="6" t="s">
        <v>24</v>
      </c>
      <c r="P438" s="6" t="s">
        <v>119</v>
      </c>
      <c r="Q438" s="6" t="s">
        <v>26</v>
      </c>
    </row>
    <row r="439" spans="1:17" x14ac:dyDescent="0.3">
      <c r="A439" s="6" t="s">
        <v>934</v>
      </c>
      <c r="B439" s="7">
        <v>45916</v>
      </c>
      <c r="C439" s="6" t="s">
        <v>231</v>
      </c>
      <c r="D439" s="6" t="s">
        <v>232</v>
      </c>
      <c r="E439" s="6" t="s">
        <v>20</v>
      </c>
      <c r="F439" s="6" t="s">
        <v>62</v>
      </c>
      <c r="G439" s="6" t="s">
        <v>38</v>
      </c>
      <c r="H439" s="6" t="s">
        <v>214</v>
      </c>
      <c r="I439" s="6">
        <v>5</v>
      </c>
      <c r="J439" s="8">
        <v>46400</v>
      </c>
      <c r="K439" s="9">
        <v>0.02</v>
      </c>
      <c r="L439" s="10">
        <v>227360</v>
      </c>
      <c r="M439" s="6">
        <v>130000</v>
      </c>
      <c r="N439" s="6">
        <v>97360</v>
      </c>
      <c r="O439" s="6" t="s">
        <v>104</v>
      </c>
      <c r="P439" s="6" t="s">
        <v>32</v>
      </c>
      <c r="Q439" s="6" t="s">
        <v>26</v>
      </c>
    </row>
    <row r="440" spans="1:17" x14ac:dyDescent="0.3">
      <c r="A440" s="6" t="s">
        <v>935</v>
      </c>
      <c r="B440" s="7">
        <v>45916</v>
      </c>
      <c r="C440" s="6" t="s">
        <v>244</v>
      </c>
      <c r="D440" s="6" t="s">
        <v>245</v>
      </c>
      <c r="E440" s="6" t="s">
        <v>20</v>
      </c>
      <c r="F440" s="6" t="s">
        <v>21</v>
      </c>
      <c r="G440" s="6" t="s">
        <v>78</v>
      </c>
      <c r="H440" s="6" t="s">
        <v>188</v>
      </c>
      <c r="I440" s="6">
        <v>6</v>
      </c>
      <c r="J440" s="8">
        <v>85800</v>
      </c>
      <c r="K440" s="9">
        <v>0.08</v>
      </c>
      <c r="L440" s="10">
        <v>473616</v>
      </c>
      <c r="M440" s="6">
        <v>312000</v>
      </c>
      <c r="N440" s="6">
        <v>161616</v>
      </c>
      <c r="O440" s="6" t="s">
        <v>24</v>
      </c>
      <c r="P440" s="6" t="s">
        <v>54</v>
      </c>
      <c r="Q440" s="6" t="s">
        <v>26</v>
      </c>
    </row>
    <row r="441" spans="1:17" x14ac:dyDescent="0.3">
      <c r="A441" s="6" t="s">
        <v>936</v>
      </c>
      <c r="B441" s="7">
        <v>45917</v>
      </c>
      <c r="C441" s="6" t="s">
        <v>814</v>
      </c>
      <c r="D441" s="6" t="s">
        <v>815</v>
      </c>
      <c r="E441" s="6" t="s">
        <v>36</v>
      </c>
      <c r="F441" s="6" t="s">
        <v>155</v>
      </c>
      <c r="G441" s="6" t="s">
        <v>78</v>
      </c>
      <c r="H441" s="6" t="s">
        <v>188</v>
      </c>
      <c r="I441" s="6">
        <v>7</v>
      </c>
      <c r="J441" s="8">
        <v>85000</v>
      </c>
      <c r="K441" s="9">
        <v>0</v>
      </c>
      <c r="L441" s="10">
        <v>595000</v>
      </c>
      <c r="M441" s="6">
        <v>364000</v>
      </c>
      <c r="N441" s="6">
        <v>231000</v>
      </c>
      <c r="O441" s="6" t="s">
        <v>68</v>
      </c>
      <c r="P441" s="6" t="s">
        <v>54</v>
      </c>
      <c r="Q441" s="6" t="s">
        <v>26</v>
      </c>
    </row>
    <row r="442" spans="1:17" x14ac:dyDescent="0.3">
      <c r="A442" s="6" t="s">
        <v>937</v>
      </c>
      <c r="B442" s="7">
        <v>45917</v>
      </c>
      <c r="C442" s="6" t="s">
        <v>716</v>
      </c>
      <c r="D442" s="6" t="s">
        <v>717</v>
      </c>
      <c r="E442" s="6" t="s">
        <v>87</v>
      </c>
      <c r="F442" s="6" t="s">
        <v>135</v>
      </c>
      <c r="G442" s="6" t="s">
        <v>22</v>
      </c>
      <c r="H442" s="6" t="s">
        <v>58</v>
      </c>
      <c r="I442" s="6">
        <v>1</v>
      </c>
      <c r="J442" s="8">
        <v>93300</v>
      </c>
      <c r="K442" s="9">
        <v>0.02</v>
      </c>
      <c r="L442" s="10">
        <v>91434</v>
      </c>
      <c r="M442" s="6">
        <v>55000</v>
      </c>
      <c r="N442" s="6">
        <v>36434</v>
      </c>
      <c r="O442" s="6" t="s">
        <v>104</v>
      </c>
      <c r="P442" s="6" t="s">
        <v>119</v>
      </c>
      <c r="Q442" s="6" t="s">
        <v>26</v>
      </c>
    </row>
    <row r="443" spans="1:17" x14ac:dyDescent="0.3">
      <c r="A443" s="6" t="s">
        <v>938</v>
      </c>
      <c r="B443" s="7">
        <v>45918</v>
      </c>
      <c r="C443" s="6" t="s">
        <v>396</v>
      </c>
      <c r="D443" s="6" t="s">
        <v>397</v>
      </c>
      <c r="E443" s="6" t="s">
        <v>30</v>
      </c>
      <c r="F443" s="6" t="s">
        <v>222</v>
      </c>
      <c r="G443" s="6" t="s">
        <v>22</v>
      </c>
      <c r="H443" s="6" t="s">
        <v>23</v>
      </c>
      <c r="I443" s="6">
        <v>7</v>
      </c>
      <c r="J443" s="8">
        <v>419800</v>
      </c>
      <c r="K443" s="9">
        <v>0.05</v>
      </c>
      <c r="L443" s="10">
        <v>2791670</v>
      </c>
      <c r="M443" s="6">
        <v>2100000</v>
      </c>
      <c r="N443" s="6">
        <v>691670</v>
      </c>
      <c r="O443" s="6" t="s">
        <v>40</v>
      </c>
      <c r="P443" s="6" t="s">
        <v>63</v>
      </c>
      <c r="Q443" s="6" t="s">
        <v>26</v>
      </c>
    </row>
    <row r="444" spans="1:17" x14ac:dyDescent="0.3">
      <c r="A444" s="6" t="s">
        <v>939</v>
      </c>
      <c r="B444" s="7">
        <v>45918</v>
      </c>
      <c r="C444" s="6" t="s">
        <v>183</v>
      </c>
      <c r="D444" s="6" t="s">
        <v>184</v>
      </c>
      <c r="E444" s="6" t="s">
        <v>20</v>
      </c>
      <c r="F444" s="6" t="s">
        <v>21</v>
      </c>
      <c r="G444" s="6" t="s">
        <v>22</v>
      </c>
      <c r="H444" s="6" t="s">
        <v>23</v>
      </c>
      <c r="I444" s="6">
        <v>7</v>
      </c>
      <c r="J444" s="8">
        <v>411500</v>
      </c>
      <c r="K444" s="9">
        <v>0</v>
      </c>
      <c r="L444" s="10">
        <v>2880500</v>
      </c>
      <c r="M444" s="6">
        <v>2100000</v>
      </c>
      <c r="N444" s="6">
        <v>780500</v>
      </c>
      <c r="O444" s="6" t="s">
        <v>24</v>
      </c>
      <c r="P444" s="6" t="s">
        <v>63</v>
      </c>
      <c r="Q444" s="6" t="s">
        <v>26</v>
      </c>
    </row>
    <row r="445" spans="1:17" x14ac:dyDescent="0.3">
      <c r="A445" s="6" t="s">
        <v>940</v>
      </c>
      <c r="B445" s="7">
        <v>45920</v>
      </c>
      <c r="C445" s="6" t="s">
        <v>342</v>
      </c>
      <c r="D445" s="6" t="s">
        <v>343</v>
      </c>
      <c r="E445" s="6" t="s">
        <v>20</v>
      </c>
      <c r="F445" s="6" t="s">
        <v>123</v>
      </c>
      <c r="G445" s="6" t="s">
        <v>22</v>
      </c>
      <c r="H445" s="6" t="s">
        <v>58</v>
      </c>
      <c r="I445" s="6">
        <v>4</v>
      </c>
      <c r="J445" s="8">
        <v>93400</v>
      </c>
      <c r="K445" s="9">
        <v>0.08</v>
      </c>
      <c r="L445" s="10">
        <v>343712</v>
      </c>
      <c r="M445" s="6">
        <v>220000</v>
      </c>
      <c r="N445" s="6">
        <v>123712</v>
      </c>
      <c r="O445" s="6" t="s">
        <v>24</v>
      </c>
      <c r="P445" s="6" t="s">
        <v>54</v>
      </c>
      <c r="Q445" s="6" t="s">
        <v>26</v>
      </c>
    </row>
    <row r="446" spans="1:17" x14ac:dyDescent="0.3">
      <c r="A446" s="6" t="s">
        <v>941</v>
      </c>
      <c r="B446" s="7">
        <v>45920</v>
      </c>
      <c r="C446" s="6" t="s">
        <v>897</v>
      </c>
      <c r="D446" s="6" t="s">
        <v>898</v>
      </c>
      <c r="E446" s="6" t="s">
        <v>30</v>
      </c>
      <c r="F446" s="6" t="s">
        <v>159</v>
      </c>
      <c r="G446" s="6" t="s">
        <v>38</v>
      </c>
      <c r="H446" s="6" t="s">
        <v>53</v>
      </c>
      <c r="I446" s="6">
        <v>7</v>
      </c>
      <c r="J446" s="8">
        <v>393700</v>
      </c>
      <c r="K446" s="9">
        <v>0</v>
      </c>
      <c r="L446" s="10">
        <v>2755900</v>
      </c>
      <c r="M446" s="6">
        <v>1960000</v>
      </c>
      <c r="N446" s="6">
        <v>795900</v>
      </c>
      <c r="O446" s="6" t="s">
        <v>104</v>
      </c>
      <c r="P446" s="6" t="s">
        <v>25</v>
      </c>
      <c r="Q446" s="6" t="s">
        <v>26</v>
      </c>
    </row>
    <row r="447" spans="1:17" x14ac:dyDescent="0.3">
      <c r="A447" s="6" t="s">
        <v>942</v>
      </c>
      <c r="B447" s="7">
        <v>45921</v>
      </c>
      <c r="C447" s="6" t="s">
        <v>121</v>
      </c>
      <c r="D447" s="6" t="s">
        <v>122</v>
      </c>
      <c r="E447" s="6" t="s">
        <v>87</v>
      </c>
      <c r="F447" s="6" t="s">
        <v>135</v>
      </c>
      <c r="G447" s="6" t="s">
        <v>22</v>
      </c>
      <c r="H447" s="6" t="s">
        <v>23</v>
      </c>
      <c r="I447" s="6">
        <v>1</v>
      </c>
      <c r="J447" s="8">
        <v>409400</v>
      </c>
      <c r="K447" s="9">
        <v>0.05</v>
      </c>
      <c r="L447" s="10">
        <v>388930</v>
      </c>
      <c r="M447" s="6">
        <v>300000</v>
      </c>
      <c r="N447" s="6">
        <v>88930</v>
      </c>
      <c r="O447" s="6" t="s">
        <v>31</v>
      </c>
      <c r="P447" s="6" t="s">
        <v>32</v>
      </c>
      <c r="Q447" s="6" t="s">
        <v>26</v>
      </c>
    </row>
    <row r="448" spans="1:17" x14ac:dyDescent="0.3">
      <c r="A448" s="6" t="s">
        <v>943</v>
      </c>
      <c r="B448" s="7">
        <v>45922</v>
      </c>
      <c r="C448" s="6" t="s">
        <v>125</v>
      </c>
      <c r="D448" s="6" t="s">
        <v>126</v>
      </c>
      <c r="E448" s="6" t="s">
        <v>20</v>
      </c>
      <c r="F448" s="6" t="s">
        <v>123</v>
      </c>
      <c r="G448" s="6" t="s">
        <v>22</v>
      </c>
      <c r="H448" s="6" t="s">
        <v>83</v>
      </c>
      <c r="I448" s="6">
        <v>3</v>
      </c>
      <c r="J448" s="8">
        <v>686100</v>
      </c>
      <c r="K448" s="9">
        <v>0.05</v>
      </c>
      <c r="L448" s="10">
        <v>1955385</v>
      </c>
      <c r="M448" s="6">
        <v>1410000</v>
      </c>
      <c r="N448" s="6">
        <v>545385</v>
      </c>
      <c r="O448" s="6" t="s">
        <v>31</v>
      </c>
      <c r="P448" s="6" t="s">
        <v>74</v>
      </c>
      <c r="Q448" s="6" t="s">
        <v>26</v>
      </c>
    </row>
    <row r="449" spans="1:17" x14ac:dyDescent="0.3">
      <c r="A449" s="6" t="s">
        <v>944</v>
      </c>
      <c r="B449" s="7">
        <v>45922</v>
      </c>
      <c r="C449" s="6" t="s">
        <v>763</v>
      </c>
      <c r="D449" s="6" t="s">
        <v>764</v>
      </c>
      <c r="E449" s="6" t="s">
        <v>30</v>
      </c>
      <c r="F449" s="6" t="s">
        <v>30</v>
      </c>
      <c r="G449" s="6" t="s">
        <v>44</v>
      </c>
      <c r="H449" s="6" t="s">
        <v>45</v>
      </c>
      <c r="I449" s="6">
        <v>1</v>
      </c>
      <c r="J449" s="8">
        <v>513000</v>
      </c>
      <c r="K449" s="9">
        <v>0.1</v>
      </c>
      <c r="L449" s="10">
        <v>461700</v>
      </c>
      <c r="M449" s="6">
        <v>365000</v>
      </c>
      <c r="N449" s="6">
        <v>96700</v>
      </c>
      <c r="O449" s="6" t="s">
        <v>31</v>
      </c>
      <c r="P449" s="6" t="s">
        <v>54</v>
      </c>
      <c r="Q449" s="6" t="s">
        <v>26</v>
      </c>
    </row>
    <row r="450" spans="1:17" x14ac:dyDescent="0.3">
      <c r="A450" s="6" t="s">
        <v>945</v>
      </c>
      <c r="B450" s="7">
        <v>45923</v>
      </c>
      <c r="C450" s="6" t="s">
        <v>324</v>
      </c>
      <c r="D450" s="6" t="s">
        <v>325</v>
      </c>
      <c r="E450" s="6" t="s">
        <v>36</v>
      </c>
      <c r="F450" s="6" t="s">
        <v>155</v>
      </c>
      <c r="G450" s="6" t="s">
        <v>78</v>
      </c>
      <c r="H450" s="6" t="s">
        <v>79</v>
      </c>
      <c r="I450" s="6">
        <v>7</v>
      </c>
      <c r="J450" s="8">
        <v>33900</v>
      </c>
      <c r="K450" s="9">
        <v>0.08</v>
      </c>
      <c r="L450" s="10">
        <v>218316</v>
      </c>
      <c r="M450" s="6">
        <v>126000</v>
      </c>
      <c r="N450" s="6">
        <v>92316</v>
      </c>
      <c r="O450" s="6" t="s">
        <v>68</v>
      </c>
      <c r="P450" s="6" t="s">
        <v>63</v>
      </c>
      <c r="Q450" s="6" t="s">
        <v>26</v>
      </c>
    </row>
    <row r="451" spans="1:17" x14ac:dyDescent="0.3">
      <c r="A451" s="6" t="s">
        <v>946</v>
      </c>
      <c r="B451" s="7">
        <v>45923</v>
      </c>
      <c r="C451" s="6" t="s">
        <v>897</v>
      </c>
      <c r="D451" s="6" t="s">
        <v>898</v>
      </c>
      <c r="E451" s="6" t="s">
        <v>67</v>
      </c>
      <c r="F451" s="6" t="s">
        <v>67</v>
      </c>
      <c r="G451" s="6" t="s">
        <v>22</v>
      </c>
      <c r="H451" s="6" t="s">
        <v>83</v>
      </c>
      <c r="I451" s="6">
        <v>1</v>
      </c>
      <c r="J451" s="8">
        <v>616200</v>
      </c>
      <c r="K451" s="9">
        <v>0.1</v>
      </c>
      <c r="L451" s="10">
        <v>554580</v>
      </c>
      <c r="M451" s="6">
        <v>470000</v>
      </c>
      <c r="N451" s="6">
        <v>84580</v>
      </c>
      <c r="O451" s="6" t="s">
        <v>31</v>
      </c>
      <c r="P451" s="6" t="s">
        <v>119</v>
      </c>
      <c r="Q451" s="6" t="s">
        <v>26</v>
      </c>
    </row>
    <row r="452" spans="1:17" x14ac:dyDescent="0.3">
      <c r="A452" s="6" t="s">
        <v>947</v>
      </c>
      <c r="B452" s="7">
        <v>45924</v>
      </c>
      <c r="C452" s="6" t="s">
        <v>137</v>
      </c>
      <c r="D452" s="6" t="s">
        <v>138</v>
      </c>
      <c r="E452" s="6" t="s">
        <v>20</v>
      </c>
      <c r="F452" s="6" t="s">
        <v>20</v>
      </c>
      <c r="G452" s="6" t="s">
        <v>22</v>
      </c>
      <c r="H452" s="6" t="s">
        <v>58</v>
      </c>
      <c r="I452" s="6">
        <v>5</v>
      </c>
      <c r="J452" s="8">
        <v>97700</v>
      </c>
      <c r="K452" s="9">
        <v>0.02</v>
      </c>
      <c r="L452" s="10">
        <v>478730</v>
      </c>
      <c r="M452" s="6">
        <v>275000</v>
      </c>
      <c r="N452" s="6">
        <v>203730</v>
      </c>
      <c r="O452" s="6" t="s">
        <v>24</v>
      </c>
      <c r="P452" s="6" t="s">
        <v>25</v>
      </c>
      <c r="Q452" s="6" t="s">
        <v>26</v>
      </c>
    </row>
    <row r="453" spans="1:17" x14ac:dyDescent="0.3">
      <c r="A453" s="6" t="s">
        <v>948</v>
      </c>
      <c r="B453" s="7">
        <v>45924</v>
      </c>
      <c r="C453" s="6" t="s">
        <v>512</v>
      </c>
      <c r="D453" s="6" t="s">
        <v>513</v>
      </c>
      <c r="E453" s="6" t="s">
        <v>20</v>
      </c>
      <c r="F453" s="6" t="s">
        <v>123</v>
      </c>
      <c r="G453" s="6" t="s">
        <v>22</v>
      </c>
      <c r="H453" s="6" t="s">
        <v>58</v>
      </c>
      <c r="I453" s="6">
        <v>7</v>
      </c>
      <c r="J453" s="8">
        <v>96200</v>
      </c>
      <c r="K453" s="9">
        <v>0.05</v>
      </c>
      <c r="L453" s="10">
        <v>639730</v>
      </c>
      <c r="M453" s="6">
        <v>385000</v>
      </c>
      <c r="N453" s="6">
        <v>254730</v>
      </c>
      <c r="O453" s="6" t="s">
        <v>24</v>
      </c>
      <c r="P453" s="6" t="s">
        <v>74</v>
      </c>
      <c r="Q453" s="6" t="s">
        <v>26</v>
      </c>
    </row>
    <row r="454" spans="1:17" x14ac:dyDescent="0.3">
      <c r="A454" s="6" t="s">
        <v>949</v>
      </c>
      <c r="B454" s="7">
        <v>45925</v>
      </c>
      <c r="C454" s="6" t="s">
        <v>950</v>
      </c>
      <c r="D454" s="6" t="s">
        <v>951</v>
      </c>
      <c r="E454" s="6" t="s">
        <v>36</v>
      </c>
      <c r="F454" s="6" t="s">
        <v>155</v>
      </c>
      <c r="G454" s="6" t="s">
        <v>38</v>
      </c>
      <c r="H454" s="6" t="s">
        <v>127</v>
      </c>
      <c r="I454" s="6">
        <v>4</v>
      </c>
      <c r="J454" s="8">
        <v>241900</v>
      </c>
      <c r="K454" s="9">
        <v>0.1</v>
      </c>
      <c r="L454" s="10">
        <v>-870840</v>
      </c>
      <c r="M454" s="6">
        <v>-660000</v>
      </c>
      <c r="N454" s="6">
        <v>-210840</v>
      </c>
      <c r="O454" s="6" t="s">
        <v>40</v>
      </c>
      <c r="P454" s="6" t="s">
        <v>74</v>
      </c>
      <c r="Q454" s="6" t="s">
        <v>105</v>
      </c>
    </row>
    <row r="455" spans="1:17" x14ac:dyDescent="0.3">
      <c r="A455" s="6" t="s">
        <v>952</v>
      </c>
      <c r="B455" s="7">
        <v>45925</v>
      </c>
      <c r="C455" s="6" t="s">
        <v>953</v>
      </c>
      <c r="D455" s="6" t="s">
        <v>954</v>
      </c>
      <c r="E455" s="6" t="s">
        <v>36</v>
      </c>
      <c r="F455" s="6" t="s">
        <v>36</v>
      </c>
      <c r="G455" s="6" t="s">
        <v>38</v>
      </c>
      <c r="H455" s="6" t="s">
        <v>53</v>
      </c>
      <c r="I455" s="6">
        <v>7</v>
      </c>
      <c r="J455" s="8">
        <v>388700</v>
      </c>
      <c r="K455" s="9">
        <v>0</v>
      </c>
      <c r="L455" s="10">
        <v>-2720900</v>
      </c>
      <c r="M455" s="6">
        <v>-1960000</v>
      </c>
      <c r="N455" s="6">
        <v>-760900</v>
      </c>
      <c r="O455" s="6" t="s">
        <v>68</v>
      </c>
      <c r="P455" s="6" t="s">
        <v>54</v>
      </c>
      <c r="Q455" s="6" t="s">
        <v>105</v>
      </c>
    </row>
    <row r="456" spans="1:17" x14ac:dyDescent="0.3">
      <c r="A456" s="6" t="s">
        <v>955</v>
      </c>
      <c r="B456" s="7">
        <v>45927</v>
      </c>
      <c r="C456" s="6" t="s">
        <v>492</v>
      </c>
      <c r="D456" s="6" t="s">
        <v>493</v>
      </c>
      <c r="E456" s="6" t="s">
        <v>30</v>
      </c>
      <c r="F456" s="6" t="s">
        <v>159</v>
      </c>
      <c r="G456" s="6" t="s">
        <v>22</v>
      </c>
      <c r="H456" s="6" t="s">
        <v>23</v>
      </c>
      <c r="I456" s="6">
        <v>4</v>
      </c>
      <c r="J456" s="8">
        <v>389400</v>
      </c>
      <c r="K456" s="9">
        <v>0.02</v>
      </c>
      <c r="L456" s="10">
        <v>1526448</v>
      </c>
      <c r="M456" s="6">
        <v>1200000</v>
      </c>
      <c r="N456" s="6">
        <v>326448</v>
      </c>
      <c r="O456" s="6" t="s">
        <v>68</v>
      </c>
      <c r="P456" s="6" t="s">
        <v>119</v>
      </c>
      <c r="Q456" s="6" t="s">
        <v>26</v>
      </c>
    </row>
    <row r="457" spans="1:17" x14ac:dyDescent="0.3">
      <c r="A457" s="6" t="s">
        <v>956</v>
      </c>
      <c r="B457" s="7">
        <v>45927</v>
      </c>
      <c r="C457" s="6" t="s">
        <v>271</v>
      </c>
      <c r="D457" s="6" t="s">
        <v>272</v>
      </c>
      <c r="E457" s="6" t="s">
        <v>87</v>
      </c>
      <c r="F457" s="6" t="s">
        <v>131</v>
      </c>
      <c r="G457" s="6" t="s">
        <v>38</v>
      </c>
      <c r="H457" s="6" t="s">
        <v>39</v>
      </c>
      <c r="I457" s="6">
        <v>3</v>
      </c>
      <c r="J457" s="8">
        <v>28400</v>
      </c>
      <c r="K457" s="9">
        <v>0.02</v>
      </c>
      <c r="L457" s="10">
        <v>83496</v>
      </c>
      <c r="M457" s="6">
        <v>45000</v>
      </c>
      <c r="N457" s="6">
        <v>38496</v>
      </c>
      <c r="O457" s="6" t="s">
        <v>40</v>
      </c>
      <c r="P457" s="6" t="s">
        <v>74</v>
      </c>
      <c r="Q457" s="6" t="s">
        <v>26</v>
      </c>
    </row>
    <row r="458" spans="1:17" x14ac:dyDescent="0.3">
      <c r="A458" s="6" t="s">
        <v>957</v>
      </c>
      <c r="B458" s="7">
        <v>45928</v>
      </c>
      <c r="C458" s="6" t="s">
        <v>121</v>
      </c>
      <c r="D458" s="6" t="s">
        <v>122</v>
      </c>
      <c r="E458" s="6" t="s">
        <v>30</v>
      </c>
      <c r="F458" s="6" t="s">
        <v>222</v>
      </c>
      <c r="G458" s="6" t="s">
        <v>38</v>
      </c>
      <c r="H458" s="6" t="s">
        <v>127</v>
      </c>
      <c r="I458" s="6">
        <v>4</v>
      </c>
      <c r="J458" s="8">
        <v>228000</v>
      </c>
      <c r="K458" s="9">
        <v>0</v>
      </c>
      <c r="L458" s="10">
        <v>912000</v>
      </c>
      <c r="M458" s="6">
        <v>660000</v>
      </c>
      <c r="N458" s="6">
        <v>252000</v>
      </c>
      <c r="O458" s="6" t="s">
        <v>40</v>
      </c>
      <c r="P458" s="6" t="s">
        <v>119</v>
      </c>
      <c r="Q458" s="6" t="s">
        <v>26</v>
      </c>
    </row>
    <row r="459" spans="1:17" x14ac:dyDescent="0.3">
      <c r="A459" s="6" t="s">
        <v>958</v>
      </c>
      <c r="B459" s="7">
        <v>45928</v>
      </c>
      <c r="C459" s="6" t="s">
        <v>434</v>
      </c>
      <c r="D459" s="6" t="s">
        <v>435</v>
      </c>
      <c r="E459" s="6" t="s">
        <v>67</v>
      </c>
      <c r="F459" s="6" t="s">
        <v>67</v>
      </c>
      <c r="G459" s="6" t="s">
        <v>22</v>
      </c>
      <c r="H459" s="6" t="s">
        <v>58</v>
      </c>
      <c r="I459" s="6">
        <v>2</v>
      </c>
      <c r="J459" s="8">
        <v>99100</v>
      </c>
      <c r="K459" s="9">
        <v>0.02</v>
      </c>
      <c r="L459" s="10">
        <v>194236</v>
      </c>
      <c r="M459" s="6">
        <v>110000</v>
      </c>
      <c r="N459" s="6">
        <v>84236</v>
      </c>
      <c r="O459" s="6" t="s">
        <v>104</v>
      </c>
      <c r="P459" s="6" t="s">
        <v>63</v>
      </c>
      <c r="Q459" s="6" t="s">
        <v>26</v>
      </c>
    </row>
    <row r="460" spans="1:17" x14ac:dyDescent="0.3">
      <c r="A460" s="6" t="s">
        <v>959</v>
      </c>
      <c r="B460" s="7">
        <v>45929</v>
      </c>
      <c r="C460" s="6" t="s">
        <v>960</v>
      </c>
      <c r="D460" s="6" t="s">
        <v>961</v>
      </c>
      <c r="E460" s="6" t="s">
        <v>20</v>
      </c>
      <c r="F460" s="6" t="s">
        <v>123</v>
      </c>
      <c r="G460" s="6" t="s">
        <v>44</v>
      </c>
      <c r="H460" s="6" t="s">
        <v>45</v>
      </c>
      <c r="I460" s="6">
        <v>7</v>
      </c>
      <c r="J460" s="8">
        <v>492300</v>
      </c>
      <c r="K460" s="9">
        <v>0.08</v>
      </c>
      <c r="L460" s="10">
        <v>0</v>
      </c>
      <c r="M460" s="6">
        <v>0</v>
      </c>
      <c r="N460" s="6">
        <v>0</v>
      </c>
      <c r="O460" s="6" t="s">
        <v>104</v>
      </c>
      <c r="P460" s="6" t="s">
        <v>25</v>
      </c>
      <c r="Q460" s="6" t="s">
        <v>69</v>
      </c>
    </row>
    <row r="461" spans="1:17" x14ac:dyDescent="0.3">
      <c r="A461" s="6" t="s">
        <v>962</v>
      </c>
      <c r="B461" s="7">
        <v>45929</v>
      </c>
      <c r="C461" s="6" t="s">
        <v>402</v>
      </c>
      <c r="D461" s="6" t="s">
        <v>403</v>
      </c>
      <c r="E461" s="6" t="s">
        <v>20</v>
      </c>
      <c r="F461" s="6" t="s">
        <v>20</v>
      </c>
      <c r="G461" s="6" t="s">
        <v>78</v>
      </c>
      <c r="H461" s="6" t="s">
        <v>318</v>
      </c>
      <c r="I461" s="6">
        <v>1</v>
      </c>
      <c r="J461" s="8">
        <v>71900</v>
      </c>
      <c r="K461" s="9">
        <v>0</v>
      </c>
      <c r="L461" s="10">
        <v>-71900</v>
      </c>
      <c r="M461" s="6">
        <v>-43000</v>
      </c>
      <c r="N461" s="6">
        <v>-28900</v>
      </c>
      <c r="O461" s="6" t="s">
        <v>68</v>
      </c>
      <c r="P461" s="6" t="s">
        <v>90</v>
      </c>
      <c r="Q461" s="6" t="s">
        <v>105</v>
      </c>
    </row>
    <row r="462" spans="1:17" x14ac:dyDescent="0.3">
      <c r="A462" s="6" t="s">
        <v>963</v>
      </c>
      <c r="B462" s="7">
        <v>45930</v>
      </c>
      <c r="C462" s="6" t="s">
        <v>411</v>
      </c>
      <c r="D462" s="6" t="s">
        <v>412</v>
      </c>
      <c r="E462" s="6" t="s">
        <v>36</v>
      </c>
      <c r="F462" s="6" t="s">
        <v>37</v>
      </c>
      <c r="G462" s="6" t="s">
        <v>44</v>
      </c>
      <c r="H462" s="6" t="s">
        <v>89</v>
      </c>
      <c r="I462" s="6">
        <v>4</v>
      </c>
      <c r="J462" s="8">
        <v>180200</v>
      </c>
      <c r="K462" s="9">
        <v>0</v>
      </c>
      <c r="L462" s="10">
        <v>720800</v>
      </c>
      <c r="M462" s="6">
        <v>460000</v>
      </c>
      <c r="N462" s="6">
        <v>260800</v>
      </c>
      <c r="O462" s="6" t="s">
        <v>104</v>
      </c>
      <c r="P462" s="6" t="s">
        <v>32</v>
      </c>
      <c r="Q462" s="6" t="s">
        <v>26</v>
      </c>
    </row>
    <row r="463" spans="1:17" x14ac:dyDescent="0.3">
      <c r="A463" s="6" t="s">
        <v>964</v>
      </c>
      <c r="B463" s="7">
        <v>45930</v>
      </c>
      <c r="C463" s="6" t="s">
        <v>209</v>
      </c>
      <c r="D463" s="6" t="s">
        <v>210</v>
      </c>
      <c r="E463" s="6" t="s">
        <v>20</v>
      </c>
      <c r="F463" s="6" t="s">
        <v>123</v>
      </c>
      <c r="G463" s="6" t="s">
        <v>44</v>
      </c>
      <c r="H463" s="6" t="s">
        <v>73</v>
      </c>
      <c r="I463" s="6">
        <v>7</v>
      </c>
      <c r="J463" s="8">
        <v>301100</v>
      </c>
      <c r="K463" s="9">
        <v>0.05</v>
      </c>
      <c r="L463" s="10">
        <v>0</v>
      </c>
      <c r="M463" s="6">
        <v>0</v>
      </c>
      <c r="N463" s="6">
        <v>0</v>
      </c>
      <c r="O463" s="6" t="s">
        <v>31</v>
      </c>
      <c r="P463" s="6" t="s">
        <v>54</v>
      </c>
      <c r="Q463" s="6" t="s">
        <v>69</v>
      </c>
    </row>
    <row r="464" spans="1:17" x14ac:dyDescent="0.3">
      <c r="A464" s="6" t="s">
        <v>965</v>
      </c>
      <c r="B464" s="7">
        <v>45930</v>
      </c>
      <c r="C464" s="6" t="s">
        <v>464</v>
      </c>
      <c r="D464" s="6" t="s">
        <v>465</v>
      </c>
      <c r="E464" s="6" t="s">
        <v>87</v>
      </c>
      <c r="F464" s="6" t="s">
        <v>131</v>
      </c>
      <c r="G464" s="6" t="s">
        <v>44</v>
      </c>
      <c r="H464" s="6" t="s">
        <v>73</v>
      </c>
      <c r="I464" s="6">
        <v>4</v>
      </c>
      <c r="J464" s="8">
        <v>296500</v>
      </c>
      <c r="K464" s="9">
        <v>0.1</v>
      </c>
      <c r="L464" s="10">
        <v>1067400</v>
      </c>
      <c r="M464" s="6">
        <v>840000</v>
      </c>
      <c r="N464" s="6">
        <v>227400</v>
      </c>
      <c r="O464" s="6" t="s">
        <v>40</v>
      </c>
      <c r="P464" s="6" t="s">
        <v>90</v>
      </c>
      <c r="Q464" s="6" t="s">
        <v>26</v>
      </c>
    </row>
    <row r="465" spans="1:17" x14ac:dyDescent="0.3">
      <c r="A465" s="6" t="s">
        <v>966</v>
      </c>
      <c r="B465" s="7">
        <v>45930</v>
      </c>
      <c r="C465" s="6" t="s">
        <v>752</v>
      </c>
      <c r="D465" s="6" t="s">
        <v>753</v>
      </c>
      <c r="E465" s="6" t="s">
        <v>36</v>
      </c>
      <c r="F465" s="6" t="s">
        <v>36</v>
      </c>
      <c r="G465" s="6" t="s">
        <v>38</v>
      </c>
      <c r="H465" s="6" t="s">
        <v>127</v>
      </c>
      <c r="I465" s="6">
        <v>5</v>
      </c>
      <c r="J465" s="8">
        <v>243100</v>
      </c>
      <c r="K465" s="9">
        <v>0.05</v>
      </c>
      <c r="L465" s="10">
        <v>1154725</v>
      </c>
      <c r="M465" s="6">
        <v>825000</v>
      </c>
      <c r="N465" s="6">
        <v>329725</v>
      </c>
      <c r="O465" s="6" t="s">
        <v>68</v>
      </c>
      <c r="P465" s="6" t="s">
        <v>25</v>
      </c>
      <c r="Q465" s="6" t="s">
        <v>26</v>
      </c>
    </row>
    <row r="466" spans="1:17" x14ac:dyDescent="0.3">
      <c r="A466" s="6" t="s">
        <v>967</v>
      </c>
      <c r="B466" s="7">
        <v>45930</v>
      </c>
      <c r="C466" s="6" t="s">
        <v>693</v>
      </c>
      <c r="D466" s="6" t="s">
        <v>694</v>
      </c>
      <c r="E466" s="6" t="s">
        <v>20</v>
      </c>
      <c r="F466" s="6" t="s">
        <v>123</v>
      </c>
      <c r="G466" s="6" t="s">
        <v>38</v>
      </c>
      <c r="H466" s="6" t="s">
        <v>39</v>
      </c>
      <c r="I466" s="6">
        <v>3</v>
      </c>
      <c r="J466" s="8">
        <v>29900</v>
      </c>
      <c r="K466" s="9">
        <v>0</v>
      </c>
      <c r="L466" s="10">
        <v>89700</v>
      </c>
      <c r="M466" s="6">
        <v>45000</v>
      </c>
      <c r="N466" s="6">
        <v>44700</v>
      </c>
      <c r="O466" s="6" t="s">
        <v>40</v>
      </c>
      <c r="P466" s="6" t="s">
        <v>90</v>
      </c>
      <c r="Q466" s="6" t="s">
        <v>26</v>
      </c>
    </row>
    <row r="467" spans="1:17" x14ac:dyDescent="0.3">
      <c r="A467" s="6" t="s">
        <v>968</v>
      </c>
      <c r="B467" s="7">
        <v>45930</v>
      </c>
      <c r="C467" s="6" t="s">
        <v>540</v>
      </c>
      <c r="D467" s="6" t="s">
        <v>541</v>
      </c>
      <c r="E467" s="6" t="s">
        <v>36</v>
      </c>
      <c r="F467" s="6" t="s">
        <v>37</v>
      </c>
      <c r="G467" s="6" t="s">
        <v>22</v>
      </c>
      <c r="H467" s="6" t="s">
        <v>49</v>
      </c>
      <c r="I467" s="6">
        <v>7</v>
      </c>
      <c r="J467" s="8">
        <v>1345300</v>
      </c>
      <c r="K467" s="9">
        <v>0.02</v>
      </c>
      <c r="L467" s="10">
        <v>-9228758</v>
      </c>
      <c r="M467" s="6">
        <v>-6650000</v>
      </c>
      <c r="N467" s="6">
        <v>-2578758</v>
      </c>
      <c r="O467" s="6" t="s">
        <v>68</v>
      </c>
      <c r="P467" s="6" t="s">
        <v>25</v>
      </c>
      <c r="Q467" s="6" t="s">
        <v>105</v>
      </c>
    </row>
    <row r="468" spans="1:17" x14ac:dyDescent="0.3">
      <c r="A468" s="6" t="s">
        <v>969</v>
      </c>
      <c r="B468" s="7">
        <v>45931</v>
      </c>
      <c r="C468" s="6" t="s">
        <v>290</v>
      </c>
      <c r="D468" s="6" t="s">
        <v>291</v>
      </c>
      <c r="E468" s="6" t="s">
        <v>87</v>
      </c>
      <c r="F468" s="6" t="s">
        <v>131</v>
      </c>
      <c r="G468" s="6" t="s">
        <v>38</v>
      </c>
      <c r="H468" s="6" t="s">
        <v>39</v>
      </c>
      <c r="I468" s="6">
        <v>2</v>
      </c>
      <c r="J468" s="8">
        <v>28700</v>
      </c>
      <c r="K468" s="9">
        <v>0.02</v>
      </c>
      <c r="L468" s="10">
        <v>56252</v>
      </c>
      <c r="M468" s="6">
        <v>30000</v>
      </c>
      <c r="N468" s="6">
        <v>26252</v>
      </c>
      <c r="O468" s="6" t="s">
        <v>31</v>
      </c>
      <c r="P468" s="6" t="s">
        <v>54</v>
      </c>
      <c r="Q468" s="6" t="s">
        <v>26</v>
      </c>
    </row>
    <row r="469" spans="1:17" x14ac:dyDescent="0.3">
      <c r="A469" s="6" t="s">
        <v>970</v>
      </c>
      <c r="B469" s="7">
        <v>45932</v>
      </c>
      <c r="C469" s="6" t="s">
        <v>971</v>
      </c>
      <c r="D469" s="6" t="s">
        <v>972</v>
      </c>
      <c r="E469" s="6" t="s">
        <v>20</v>
      </c>
      <c r="F469" s="6" t="s">
        <v>123</v>
      </c>
      <c r="G469" s="6" t="s">
        <v>22</v>
      </c>
      <c r="H469" s="6" t="s">
        <v>49</v>
      </c>
      <c r="I469" s="6">
        <v>4</v>
      </c>
      <c r="J469" s="8">
        <v>1334900</v>
      </c>
      <c r="K469" s="9">
        <v>0</v>
      </c>
      <c r="L469" s="10">
        <v>5339600</v>
      </c>
      <c r="M469" s="6">
        <v>3800000</v>
      </c>
      <c r="N469" s="6">
        <v>1539600</v>
      </c>
      <c r="O469" s="6" t="s">
        <v>40</v>
      </c>
      <c r="P469" s="6" t="s">
        <v>119</v>
      </c>
      <c r="Q469" s="6" t="s">
        <v>26</v>
      </c>
    </row>
    <row r="470" spans="1:17" x14ac:dyDescent="0.3">
      <c r="A470" s="6" t="s">
        <v>973</v>
      </c>
      <c r="B470" s="7">
        <v>45933</v>
      </c>
      <c r="C470" s="6" t="s">
        <v>129</v>
      </c>
      <c r="D470" s="6" t="s">
        <v>130</v>
      </c>
      <c r="E470" s="6" t="s">
        <v>36</v>
      </c>
      <c r="F470" s="6" t="s">
        <v>37</v>
      </c>
      <c r="G470" s="6" t="s">
        <v>22</v>
      </c>
      <c r="H470" s="6" t="s">
        <v>83</v>
      </c>
      <c r="I470" s="6">
        <v>2</v>
      </c>
      <c r="J470" s="8">
        <v>606900</v>
      </c>
      <c r="K470" s="9">
        <v>0.1</v>
      </c>
      <c r="L470" s="10">
        <v>1092420</v>
      </c>
      <c r="M470" s="6">
        <v>940000</v>
      </c>
      <c r="N470" s="6">
        <v>152420</v>
      </c>
      <c r="O470" s="6" t="s">
        <v>68</v>
      </c>
      <c r="P470" s="6" t="s">
        <v>54</v>
      </c>
      <c r="Q470" s="6" t="s">
        <v>26</v>
      </c>
    </row>
    <row r="471" spans="1:17" x14ac:dyDescent="0.3">
      <c r="A471" s="6" t="s">
        <v>974</v>
      </c>
      <c r="B471" s="7">
        <v>45934</v>
      </c>
      <c r="C471" s="6" t="s">
        <v>244</v>
      </c>
      <c r="D471" s="6" t="s">
        <v>245</v>
      </c>
      <c r="E471" s="6" t="s">
        <v>20</v>
      </c>
      <c r="F471" s="6" t="s">
        <v>123</v>
      </c>
      <c r="G471" s="6" t="s">
        <v>22</v>
      </c>
      <c r="H471" s="6" t="s">
        <v>23</v>
      </c>
      <c r="I471" s="6">
        <v>4</v>
      </c>
      <c r="J471" s="8">
        <v>438500</v>
      </c>
      <c r="K471" s="9">
        <v>0.08</v>
      </c>
      <c r="L471" s="10">
        <v>1613680</v>
      </c>
      <c r="M471" s="6">
        <v>1200000</v>
      </c>
      <c r="N471" s="6">
        <v>413680</v>
      </c>
      <c r="O471" s="6" t="s">
        <v>104</v>
      </c>
      <c r="P471" s="6" t="s">
        <v>119</v>
      </c>
      <c r="Q471" s="6" t="s">
        <v>26</v>
      </c>
    </row>
    <row r="472" spans="1:17" x14ac:dyDescent="0.3">
      <c r="A472" s="6" t="s">
        <v>975</v>
      </c>
      <c r="B472" s="7">
        <v>45934</v>
      </c>
      <c r="C472" s="6" t="s">
        <v>304</v>
      </c>
      <c r="D472" s="6" t="s">
        <v>305</v>
      </c>
      <c r="E472" s="6" t="s">
        <v>20</v>
      </c>
      <c r="F472" s="6" t="s">
        <v>62</v>
      </c>
      <c r="G472" s="6" t="s">
        <v>78</v>
      </c>
      <c r="H472" s="6" t="s">
        <v>318</v>
      </c>
      <c r="I472" s="6">
        <v>3</v>
      </c>
      <c r="J472" s="8">
        <v>74300</v>
      </c>
      <c r="K472" s="9">
        <v>0.02</v>
      </c>
      <c r="L472" s="10">
        <v>218442</v>
      </c>
      <c r="M472" s="6">
        <v>129000</v>
      </c>
      <c r="N472" s="6">
        <v>89442</v>
      </c>
      <c r="O472" s="6" t="s">
        <v>104</v>
      </c>
      <c r="P472" s="6" t="s">
        <v>32</v>
      </c>
      <c r="Q472" s="6" t="s">
        <v>26</v>
      </c>
    </row>
    <row r="473" spans="1:17" x14ac:dyDescent="0.3">
      <c r="A473" s="6" t="s">
        <v>976</v>
      </c>
      <c r="B473" s="7">
        <v>45934</v>
      </c>
      <c r="C473" s="6" t="s">
        <v>707</v>
      </c>
      <c r="D473" s="6" t="s">
        <v>708</v>
      </c>
      <c r="E473" s="6" t="s">
        <v>36</v>
      </c>
      <c r="F473" s="6" t="s">
        <v>37</v>
      </c>
      <c r="G473" s="6" t="s">
        <v>44</v>
      </c>
      <c r="H473" s="6" t="s">
        <v>45</v>
      </c>
      <c r="I473" s="6">
        <v>7</v>
      </c>
      <c r="J473" s="8">
        <v>537000</v>
      </c>
      <c r="K473" s="9">
        <v>0.05</v>
      </c>
      <c r="L473" s="10">
        <v>-3571050</v>
      </c>
      <c r="M473" s="6">
        <v>-2555000</v>
      </c>
      <c r="N473" s="6">
        <v>-1016050</v>
      </c>
      <c r="O473" s="6" t="s">
        <v>24</v>
      </c>
      <c r="P473" s="6" t="s">
        <v>63</v>
      </c>
      <c r="Q473" s="6" t="s">
        <v>105</v>
      </c>
    </row>
    <row r="474" spans="1:17" x14ac:dyDescent="0.3">
      <c r="A474" s="6" t="s">
        <v>977</v>
      </c>
      <c r="B474" s="7">
        <v>45935</v>
      </c>
      <c r="C474" s="6" t="s">
        <v>146</v>
      </c>
      <c r="D474" s="6" t="s">
        <v>147</v>
      </c>
      <c r="E474" s="6" t="s">
        <v>20</v>
      </c>
      <c r="F474" s="6" t="s">
        <v>20</v>
      </c>
      <c r="G474" s="6" t="s">
        <v>44</v>
      </c>
      <c r="H474" s="6" t="s">
        <v>73</v>
      </c>
      <c r="I474" s="6">
        <v>5</v>
      </c>
      <c r="J474" s="8">
        <v>305900</v>
      </c>
      <c r="K474" s="9">
        <v>0.08</v>
      </c>
      <c r="L474" s="10">
        <v>1407140</v>
      </c>
      <c r="M474" s="6">
        <v>1050000</v>
      </c>
      <c r="N474" s="6">
        <v>357140</v>
      </c>
      <c r="O474" s="6" t="s">
        <v>40</v>
      </c>
      <c r="P474" s="6" t="s">
        <v>63</v>
      </c>
      <c r="Q474" s="6" t="s">
        <v>26</v>
      </c>
    </row>
    <row r="475" spans="1:17" x14ac:dyDescent="0.3">
      <c r="A475" s="6" t="s">
        <v>978</v>
      </c>
      <c r="B475" s="7">
        <v>45935</v>
      </c>
      <c r="C475" s="6" t="s">
        <v>607</v>
      </c>
      <c r="D475" s="6" t="s">
        <v>608</v>
      </c>
      <c r="E475" s="6" t="s">
        <v>20</v>
      </c>
      <c r="F475" s="6" t="s">
        <v>20</v>
      </c>
      <c r="G475" s="6" t="s">
        <v>22</v>
      </c>
      <c r="H475" s="6" t="s">
        <v>83</v>
      </c>
      <c r="I475" s="6">
        <v>1</v>
      </c>
      <c r="J475" s="8">
        <v>660600</v>
      </c>
      <c r="K475" s="9">
        <v>0.05</v>
      </c>
      <c r="L475" s="10">
        <v>627570</v>
      </c>
      <c r="M475" s="6">
        <v>470000</v>
      </c>
      <c r="N475" s="6">
        <v>157570</v>
      </c>
      <c r="O475" s="6" t="s">
        <v>24</v>
      </c>
      <c r="P475" s="6" t="s">
        <v>90</v>
      </c>
      <c r="Q475" s="6" t="s">
        <v>26</v>
      </c>
    </row>
    <row r="476" spans="1:17" x14ac:dyDescent="0.3">
      <c r="A476" s="6" t="s">
        <v>979</v>
      </c>
      <c r="B476" s="7">
        <v>45936</v>
      </c>
      <c r="C476" s="6" t="s">
        <v>593</v>
      </c>
      <c r="D476" s="6" t="s">
        <v>594</v>
      </c>
      <c r="E476" s="6" t="s">
        <v>36</v>
      </c>
      <c r="F476" s="6" t="s">
        <v>36</v>
      </c>
      <c r="G476" s="6" t="s">
        <v>38</v>
      </c>
      <c r="H476" s="6" t="s">
        <v>53</v>
      </c>
      <c r="I476" s="6">
        <v>4</v>
      </c>
      <c r="J476" s="8">
        <v>385100</v>
      </c>
      <c r="K476" s="9">
        <v>0.08</v>
      </c>
      <c r="L476" s="10">
        <v>1417168</v>
      </c>
      <c r="M476" s="6">
        <v>1120000</v>
      </c>
      <c r="N476" s="6">
        <v>297168</v>
      </c>
      <c r="O476" s="6" t="s">
        <v>68</v>
      </c>
      <c r="P476" s="6" t="s">
        <v>63</v>
      </c>
      <c r="Q476" s="6" t="s">
        <v>26</v>
      </c>
    </row>
    <row r="477" spans="1:17" x14ac:dyDescent="0.3">
      <c r="A477" s="6" t="s">
        <v>980</v>
      </c>
      <c r="B477" s="7">
        <v>45936</v>
      </c>
      <c r="C477" s="6" t="s">
        <v>253</v>
      </c>
      <c r="D477" s="6" t="s">
        <v>254</v>
      </c>
      <c r="E477" s="6" t="s">
        <v>20</v>
      </c>
      <c r="F477" s="6" t="s">
        <v>62</v>
      </c>
      <c r="G477" s="6" t="s">
        <v>22</v>
      </c>
      <c r="H477" s="6" t="s">
        <v>58</v>
      </c>
      <c r="I477" s="6">
        <v>3</v>
      </c>
      <c r="J477" s="8">
        <v>92800</v>
      </c>
      <c r="K477" s="9">
        <v>0.08</v>
      </c>
      <c r="L477" s="10">
        <v>256128</v>
      </c>
      <c r="M477" s="6">
        <v>165000</v>
      </c>
      <c r="N477" s="6">
        <v>91128</v>
      </c>
      <c r="O477" s="6" t="s">
        <v>40</v>
      </c>
      <c r="P477" s="6" t="s">
        <v>74</v>
      </c>
      <c r="Q477" s="6" t="s">
        <v>26</v>
      </c>
    </row>
    <row r="478" spans="1:17" x14ac:dyDescent="0.3">
      <c r="A478" s="6" t="s">
        <v>981</v>
      </c>
      <c r="B478" s="7">
        <v>45936</v>
      </c>
      <c r="C478" s="6" t="s">
        <v>137</v>
      </c>
      <c r="D478" s="6" t="s">
        <v>138</v>
      </c>
      <c r="E478" s="6" t="s">
        <v>36</v>
      </c>
      <c r="F478" s="6" t="s">
        <v>155</v>
      </c>
      <c r="G478" s="6" t="s">
        <v>38</v>
      </c>
      <c r="H478" s="6" t="s">
        <v>214</v>
      </c>
      <c r="I478" s="6">
        <v>6</v>
      </c>
      <c r="J478" s="8">
        <v>46100</v>
      </c>
      <c r="K478" s="9">
        <v>0.02</v>
      </c>
      <c r="L478" s="10">
        <v>271068</v>
      </c>
      <c r="M478" s="6">
        <v>156000</v>
      </c>
      <c r="N478" s="6">
        <v>115068</v>
      </c>
      <c r="O478" s="6" t="s">
        <v>68</v>
      </c>
      <c r="P478" s="6" t="s">
        <v>74</v>
      </c>
      <c r="Q478" s="6" t="s">
        <v>26</v>
      </c>
    </row>
    <row r="479" spans="1:17" x14ac:dyDescent="0.3">
      <c r="A479" s="6" t="s">
        <v>982</v>
      </c>
      <c r="B479" s="7">
        <v>45939</v>
      </c>
      <c r="C479" s="6" t="s">
        <v>446</v>
      </c>
      <c r="D479" s="6" t="s">
        <v>447</v>
      </c>
      <c r="E479" s="6" t="s">
        <v>36</v>
      </c>
      <c r="F479" s="6" t="s">
        <v>37</v>
      </c>
      <c r="G479" s="6" t="s">
        <v>78</v>
      </c>
      <c r="H479" s="6" t="s">
        <v>79</v>
      </c>
      <c r="I479" s="6">
        <v>2</v>
      </c>
      <c r="J479" s="8">
        <v>34200</v>
      </c>
      <c r="K479" s="9">
        <v>0.08</v>
      </c>
      <c r="L479" s="10">
        <v>62928</v>
      </c>
      <c r="M479" s="6">
        <v>36000</v>
      </c>
      <c r="N479" s="6">
        <v>26928</v>
      </c>
      <c r="O479" s="6" t="s">
        <v>31</v>
      </c>
      <c r="P479" s="6" t="s">
        <v>74</v>
      </c>
      <c r="Q479" s="6" t="s">
        <v>26</v>
      </c>
    </row>
    <row r="480" spans="1:17" x14ac:dyDescent="0.3">
      <c r="A480" s="6" t="s">
        <v>983</v>
      </c>
      <c r="B480" s="7">
        <v>45939</v>
      </c>
      <c r="C480" s="6" t="s">
        <v>47</v>
      </c>
      <c r="D480" s="6" t="s">
        <v>48</v>
      </c>
      <c r="E480" s="6" t="s">
        <v>36</v>
      </c>
      <c r="F480" s="6" t="s">
        <v>37</v>
      </c>
      <c r="G480" s="6" t="s">
        <v>22</v>
      </c>
      <c r="H480" s="6" t="s">
        <v>23</v>
      </c>
      <c r="I480" s="6">
        <v>7</v>
      </c>
      <c r="J480" s="8">
        <v>408800</v>
      </c>
      <c r="K480" s="9">
        <v>0.02</v>
      </c>
      <c r="L480" s="10">
        <v>2804368</v>
      </c>
      <c r="M480" s="6">
        <v>2100000</v>
      </c>
      <c r="N480" s="6">
        <v>704368</v>
      </c>
      <c r="O480" s="6" t="s">
        <v>68</v>
      </c>
      <c r="P480" s="6" t="s">
        <v>54</v>
      </c>
      <c r="Q480" s="6" t="s">
        <v>26</v>
      </c>
    </row>
    <row r="481" spans="1:17" x14ac:dyDescent="0.3">
      <c r="A481" s="6" t="s">
        <v>984</v>
      </c>
      <c r="B481" s="7">
        <v>45939</v>
      </c>
      <c r="C481" s="6" t="s">
        <v>985</v>
      </c>
      <c r="D481" s="6" t="s">
        <v>986</v>
      </c>
      <c r="E481" s="6" t="s">
        <v>36</v>
      </c>
      <c r="F481" s="6" t="s">
        <v>155</v>
      </c>
      <c r="G481" s="6" t="s">
        <v>44</v>
      </c>
      <c r="H481" s="6" t="s">
        <v>73</v>
      </c>
      <c r="I481" s="6">
        <v>6</v>
      </c>
      <c r="J481" s="8">
        <v>333900</v>
      </c>
      <c r="K481" s="9">
        <v>0</v>
      </c>
      <c r="L481" s="10">
        <v>2003400</v>
      </c>
      <c r="M481" s="6">
        <v>1260000</v>
      </c>
      <c r="N481" s="6">
        <v>743400</v>
      </c>
      <c r="O481" s="6" t="s">
        <v>40</v>
      </c>
      <c r="P481" s="6" t="s">
        <v>74</v>
      </c>
      <c r="Q481" s="6" t="s">
        <v>26</v>
      </c>
    </row>
    <row r="482" spans="1:17" x14ac:dyDescent="0.3">
      <c r="A482" s="6" t="s">
        <v>987</v>
      </c>
      <c r="B482" s="7">
        <v>45940</v>
      </c>
      <c r="C482" s="6" t="s">
        <v>897</v>
      </c>
      <c r="D482" s="6" t="s">
        <v>898</v>
      </c>
      <c r="E482" s="6" t="s">
        <v>87</v>
      </c>
      <c r="F482" s="6" t="s">
        <v>135</v>
      </c>
      <c r="G482" s="6" t="s">
        <v>38</v>
      </c>
      <c r="H482" s="6" t="s">
        <v>127</v>
      </c>
      <c r="I482" s="6">
        <v>7</v>
      </c>
      <c r="J482" s="8">
        <v>244700</v>
      </c>
      <c r="K482" s="9">
        <v>0</v>
      </c>
      <c r="L482" s="10">
        <v>1712900</v>
      </c>
      <c r="M482" s="6">
        <v>1155000</v>
      </c>
      <c r="N482" s="6">
        <v>557900</v>
      </c>
      <c r="O482" s="6" t="s">
        <v>40</v>
      </c>
      <c r="P482" s="6" t="s">
        <v>32</v>
      </c>
      <c r="Q482" s="6" t="s">
        <v>26</v>
      </c>
    </row>
    <row r="483" spans="1:17" x14ac:dyDescent="0.3">
      <c r="A483" s="6" t="s">
        <v>988</v>
      </c>
      <c r="B483" s="7">
        <v>45940</v>
      </c>
      <c r="C483" s="6" t="s">
        <v>47</v>
      </c>
      <c r="D483" s="6" t="s">
        <v>48</v>
      </c>
      <c r="E483" s="6" t="s">
        <v>20</v>
      </c>
      <c r="F483" s="6" t="s">
        <v>123</v>
      </c>
      <c r="G483" s="6" t="s">
        <v>38</v>
      </c>
      <c r="H483" s="6" t="s">
        <v>53</v>
      </c>
      <c r="I483" s="6">
        <v>5</v>
      </c>
      <c r="J483" s="8">
        <v>364800</v>
      </c>
      <c r="K483" s="9">
        <v>0.08</v>
      </c>
      <c r="L483" s="10">
        <v>1678080</v>
      </c>
      <c r="M483" s="6">
        <v>1400000</v>
      </c>
      <c r="N483" s="6">
        <v>278080</v>
      </c>
      <c r="O483" s="6" t="s">
        <v>68</v>
      </c>
      <c r="P483" s="6" t="s">
        <v>54</v>
      </c>
      <c r="Q483" s="6" t="s">
        <v>26</v>
      </c>
    </row>
    <row r="484" spans="1:17" x14ac:dyDescent="0.3">
      <c r="A484" s="6" t="s">
        <v>989</v>
      </c>
      <c r="B484" s="7">
        <v>45941</v>
      </c>
      <c r="C484" s="6" t="s">
        <v>209</v>
      </c>
      <c r="D484" s="6" t="s">
        <v>210</v>
      </c>
      <c r="E484" s="6" t="s">
        <v>30</v>
      </c>
      <c r="F484" s="6" t="s">
        <v>222</v>
      </c>
      <c r="G484" s="6" t="s">
        <v>38</v>
      </c>
      <c r="H484" s="6" t="s">
        <v>214</v>
      </c>
      <c r="I484" s="6">
        <v>1</v>
      </c>
      <c r="J484" s="8">
        <v>45800</v>
      </c>
      <c r="K484" s="9">
        <v>0</v>
      </c>
      <c r="L484" s="10">
        <v>45800</v>
      </c>
      <c r="M484" s="6">
        <v>26000</v>
      </c>
      <c r="N484" s="6">
        <v>19800</v>
      </c>
      <c r="O484" s="6" t="s">
        <v>104</v>
      </c>
      <c r="P484" s="6" t="s">
        <v>32</v>
      </c>
      <c r="Q484" s="6" t="s">
        <v>26</v>
      </c>
    </row>
    <row r="485" spans="1:17" x14ac:dyDescent="0.3">
      <c r="A485" s="6" t="s">
        <v>990</v>
      </c>
      <c r="B485" s="7">
        <v>45942</v>
      </c>
      <c r="C485" s="6" t="s">
        <v>991</v>
      </c>
      <c r="D485" s="6" t="s">
        <v>992</v>
      </c>
      <c r="E485" s="6" t="s">
        <v>20</v>
      </c>
      <c r="F485" s="6" t="s">
        <v>123</v>
      </c>
      <c r="G485" s="6" t="s">
        <v>38</v>
      </c>
      <c r="H485" s="6" t="s">
        <v>127</v>
      </c>
      <c r="I485" s="6">
        <v>3</v>
      </c>
      <c r="J485" s="8">
        <v>240400</v>
      </c>
      <c r="K485" s="9">
        <v>0</v>
      </c>
      <c r="L485" s="10">
        <v>721200</v>
      </c>
      <c r="M485" s="6">
        <v>495000</v>
      </c>
      <c r="N485" s="6">
        <v>226200</v>
      </c>
      <c r="O485" s="6" t="s">
        <v>104</v>
      </c>
      <c r="P485" s="6" t="s">
        <v>63</v>
      </c>
      <c r="Q485" s="6" t="s">
        <v>26</v>
      </c>
    </row>
    <row r="486" spans="1:17" x14ac:dyDescent="0.3">
      <c r="A486" s="6" t="s">
        <v>993</v>
      </c>
      <c r="B486" s="7">
        <v>45942</v>
      </c>
      <c r="C486" s="6" t="s">
        <v>834</v>
      </c>
      <c r="D486" s="6" t="s">
        <v>835</v>
      </c>
      <c r="E486" s="6" t="s">
        <v>30</v>
      </c>
      <c r="F486" s="6" t="s">
        <v>30</v>
      </c>
      <c r="G486" s="6" t="s">
        <v>38</v>
      </c>
      <c r="H486" s="6" t="s">
        <v>127</v>
      </c>
      <c r="I486" s="6">
        <v>3</v>
      </c>
      <c r="J486" s="8">
        <v>223300</v>
      </c>
      <c r="K486" s="9">
        <v>0.08</v>
      </c>
      <c r="L486" s="10">
        <v>616308</v>
      </c>
      <c r="M486" s="6">
        <v>495000</v>
      </c>
      <c r="N486" s="6">
        <v>121308</v>
      </c>
      <c r="O486" s="6" t="s">
        <v>68</v>
      </c>
      <c r="P486" s="6" t="s">
        <v>54</v>
      </c>
      <c r="Q486" s="6" t="s">
        <v>26</v>
      </c>
    </row>
    <row r="487" spans="1:17" x14ac:dyDescent="0.3">
      <c r="A487" s="6" t="s">
        <v>994</v>
      </c>
      <c r="B487" s="7">
        <v>45943</v>
      </c>
      <c r="C487" s="6" t="s">
        <v>256</v>
      </c>
      <c r="D487" s="6" t="s">
        <v>257</v>
      </c>
      <c r="E487" s="6" t="s">
        <v>67</v>
      </c>
      <c r="F487" s="6" t="s">
        <v>100</v>
      </c>
      <c r="G487" s="6" t="s">
        <v>38</v>
      </c>
      <c r="H487" s="6" t="s">
        <v>127</v>
      </c>
      <c r="I487" s="6">
        <v>2</v>
      </c>
      <c r="J487" s="8">
        <v>231700</v>
      </c>
      <c r="K487" s="9">
        <v>0</v>
      </c>
      <c r="L487" s="10">
        <v>463400</v>
      </c>
      <c r="M487" s="6">
        <v>330000</v>
      </c>
      <c r="N487" s="6">
        <v>133400</v>
      </c>
      <c r="O487" s="6" t="s">
        <v>24</v>
      </c>
      <c r="P487" s="6" t="s">
        <v>90</v>
      </c>
      <c r="Q487" s="6" t="s">
        <v>26</v>
      </c>
    </row>
    <row r="488" spans="1:17" x14ac:dyDescent="0.3">
      <c r="A488" s="6" t="s">
        <v>995</v>
      </c>
      <c r="B488" s="7">
        <v>45944</v>
      </c>
      <c r="C488" s="6" t="s">
        <v>588</v>
      </c>
      <c r="D488" s="6" t="s">
        <v>589</v>
      </c>
      <c r="E488" s="6" t="s">
        <v>20</v>
      </c>
      <c r="F488" s="6" t="s">
        <v>21</v>
      </c>
      <c r="G488" s="6" t="s">
        <v>38</v>
      </c>
      <c r="H488" s="6" t="s">
        <v>39</v>
      </c>
      <c r="I488" s="6">
        <v>6</v>
      </c>
      <c r="J488" s="8">
        <v>29100</v>
      </c>
      <c r="K488" s="9">
        <v>0.05</v>
      </c>
      <c r="L488" s="10">
        <v>165870</v>
      </c>
      <c r="M488" s="6">
        <v>90000</v>
      </c>
      <c r="N488" s="6">
        <v>75870</v>
      </c>
      <c r="O488" s="6" t="s">
        <v>40</v>
      </c>
      <c r="P488" s="6" t="s">
        <v>54</v>
      </c>
      <c r="Q488" s="6" t="s">
        <v>26</v>
      </c>
    </row>
    <row r="489" spans="1:17" x14ac:dyDescent="0.3">
      <c r="A489" s="6" t="s">
        <v>996</v>
      </c>
      <c r="B489" s="7">
        <v>45945</v>
      </c>
      <c r="C489" s="6" t="s">
        <v>495</v>
      </c>
      <c r="D489" s="6" t="s">
        <v>496</v>
      </c>
      <c r="E489" s="6" t="s">
        <v>36</v>
      </c>
      <c r="F489" s="6" t="s">
        <v>155</v>
      </c>
      <c r="G489" s="6" t="s">
        <v>22</v>
      </c>
      <c r="H489" s="6" t="s">
        <v>58</v>
      </c>
      <c r="I489" s="6">
        <v>5</v>
      </c>
      <c r="J489" s="8">
        <v>95200</v>
      </c>
      <c r="K489" s="9">
        <v>0.08</v>
      </c>
      <c r="L489" s="10">
        <v>437920</v>
      </c>
      <c r="M489" s="6">
        <v>275000</v>
      </c>
      <c r="N489" s="6">
        <v>162920</v>
      </c>
      <c r="O489" s="6" t="s">
        <v>24</v>
      </c>
      <c r="P489" s="6" t="s">
        <v>119</v>
      </c>
      <c r="Q489" s="6" t="s">
        <v>26</v>
      </c>
    </row>
    <row r="490" spans="1:17" x14ac:dyDescent="0.3">
      <c r="A490" s="6" t="s">
        <v>997</v>
      </c>
      <c r="B490" s="7">
        <v>45948</v>
      </c>
      <c r="C490" s="6" t="s">
        <v>34</v>
      </c>
      <c r="D490" s="6" t="s">
        <v>35</v>
      </c>
      <c r="E490" s="6" t="s">
        <v>36</v>
      </c>
      <c r="F490" s="6" t="s">
        <v>36</v>
      </c>
      <c r="G490" s="6" t="s">
        <v>38</v>
      </c>
      <c r="H490" s="6" t="s">
        <v>214</v>
      </c>
      <c r="I490" s="6">
        <v>1</v>
      </c>
      <c r="J490" s="8">
        <v>41500</v>
      </c>
      <c r="K490" s="9">
        <v>0</v>
      </c>
      <c r="L490" s="10">
        <v>41500</v>
      </c>
      <c r="M490" s="6">
        <v>26000</v>
      </c>
      <c r="N490" s="6">
        <v>15500</v>
      </c>
      <c r="O490" s="6" t="s">
        <v>24</v>
      </c>
      <c r="P490" s="6" t="s">
        <v>25</v>
      </c>
      <c r="Q490" s="6" t="s">
        <v>26</v>
      </c>
    </row>
    <row r="491" spans="1:17" x14ac:dyDescent="0.3">
      <c r="A491" s="6" t="s">
        <v>998</v>
      </c>
      <c r="B491" s="7">
        <v>45949</v>
      </c>
      <c r="C491" s="6" t="s">
        <v>851</v>
      </c>
      <c r="D491" s="6" t="s">
        <v>852</v>
      </c>
      <c r="E491" s="6" t="s">
        <v>67</v>
      </c>
      <c r="F491" s="6" t="s">
        <v>67</v>
      </c>
      <c r="G491" s="6" t="s">
        <v>38</v>
      </c>
      <c r="H491" s="6" t="s">
        <v>127</v>
      </c>
      <c r="I491" s="6">
        <v>3</v>
      </c>
      <c r="J491" s="8">
        <v>234500</v>
      </c>
      <c r="K491" s="9">
        <v>0.08</v>
      </c>
      <c r="L491" s="10">
        <v>647220</v>
      </c>
      <c r="M491" s="6">
        <v>495000</v>
      </c>
      <c r="N491" s="6">
        <v>152220</v>
      </c>
      <c r="O491" s="6" t="s">
        <v>104</v>
      </c>
      <c r="P491" s="6" t="s">
        <v>25</v>
      </c>
      <c r="Q491" s="6" t="s">
        <v>26</v>
      </c>
    </row>
    <row r="492" spans="1:17" x14ac:dyDescent="0.3">
      <c r="A492" s="6" t="s">
        <v>999</v>
      </c>
      <c r="B492" s="7">
        <v>45949</v>
      </c>
      <c r="C492" s="6" t="s">
        <v>353</v>
      </c>
      <c r="D492" s="6" t="s">
        <v>354</v>
      </c>
      <c r="E492" s="6" t="s">
        <v>36</v>
      </c>
      <c r="F492" s="6" t="s">
        <v>155</v>
      </c>
      <c r="G492" s="6" t="s">
        <v>44</v>
      </c>
      <c r="H492" s="6" t="s">
        <v>89</v>
      </c>
      <c r="I492" s="6">
        <v>1</v>
      </c>
      <c r="J492" s="8">
        <v>177000</v>
      </c>
      <c r="K492" s="9">
        <v>0.02</v>
      </c>
      <c r="L492" s="10">
        <v>173460</v>
      </c>
      <c r="M492" s="6">
        <v>115000</v>
      </c>
      <c r="N492" s="6">
        <v>58460</v>
      </c>
      <c r="O492" s="6" t="s">
        <v>104</v>
      </c>
      <c r="P492" s="6" t="s">
        <v>74</v>
      </c>
      <c r="Q492" s="6" t="s">
        <v>26</v>
      </c>
    </row>
    <row r="493" spans="1:17" x14ac:dyDescent="0.3">
      <c r="A493" s="6" t="s">
        <v>1000</v>
      </c>
      <c r="B493" s="7">
        <v>45950</v>
      </c>
      <c r="C493" s="6" t="s">
        <v>356</v>
      </c>
      <c r="D493" s="6" t="s">
        <v>357</v>
      </c>
      <c r="E493" s="6" t="s">
        <v>20</v>
      </c>
      <c r="F493" s="6" t="s">
        <v>20</v>
      </c>
      <c r="G493" s="6" t="s">
        <v>78</v>
      </c>
      <c r="H493" s="6" t="s">
        <v>318</v>
      </c>
      <c r="I493" s="6">
        <v>1</v>
      </c>
      <c r="J493" s="8">
        <v>70300</v>
      </c>
      <c r="K493" s="9">
        <v>0.02</v>
      </c>
      <c r="L493" s="10">
        <v>68894</v>
      </c>
      <c r="M493" s="6">
        <v>43000</v>
      </c>
      <c r="N493" s="6">
        <v>25894</v>
      </c>
      <c r="O493" s="6" t="s">
        <v>104</v>
      </c>
      <c r="P493" s="6" t="s">
        <v>119</v>
      </c>
      <c r="Q493" s="6" t="s">
        <v>26</v>
      </c>
    </row>
    <row r="494" spans="1:17" x14ac:dyDescent="0.3">
      <c r="A494" s="6" t="s">
        <v>1001</v>
      </c>
      <c r="B494" s="7">
        <v>45951</v>
      </c>
      <c r="C494" s="6" t="s">
        <v>129</v>
      </c>
      <c r="D494" s="6" t="s">
        <v>130</v>
      </c>
      <c r="E494" s="6" t="s">
        <v>20</v>
      </c>
      <c r="F494" s="6" t="s">
        <v>62</v>
      </c>
      <c r="G494" s="6" t="s">
        <v>22</v>
      </c>
      <c r="H494" s="6" t="s">
        <v>58</v>
      </c>
      <c r="I494" s="6">
        <v>2</v>
      </c>
      <c r="J494" s="8">
        <v>90500</v>
      </c>
      <c r="K494" s="9">
        <v>0.08</v>
      </c>
      <c r="L494" s="10">
        <v>0</v>
      </c>
      <c r="M494" s="6">
        <v>0</v>
      </c>
      <c r="N494" s="6">
        <v>0</v>
      </c>
      <c r="O494" s="6" t="s">
        <v>40</v>
      </c>
      <c r="P494" s="6" t="s">
        <v>32</v>
      </c>
      <c r="Q494" s="6" t="s">
        <v>69</v>
      </c>
    </row>
    <row r="495" spans="1:17" x14ac:dyDescent="0.3">
      <c r="A495" s="6" t="s">
        <v>1002</v>
      </c>
      <c r="B495" s="7">
        <v>45952</v>
      </c>
      <c r="C495" s="6" t="s">
        <v>296</v>
      </c>
      <c r="D495" s="6" t="s">
        <v>297</v>
      </c>
      <c r="E495" s="6" t="s">
        <v>20</v>
      </c>
      <c r="F495" s="6" t="s">
        <v>20</v>
      </c>
      <c r="G495" s="6" t="s">
        <v>38</v>
      </c>
      <c r="H495" s="6" t="s">
        <v>53</v>
      </c>
      <c r="I495" s="6">
        <v>1</v>
      </c>
      <c r="J495" s="8">
        <v>388000</v>
      </c>
      <c r="K495" s="9">
        <v>0.02</v>
      </c>
      <c r="L495" s="10">
        <v>380240</v>
      </c>
      <c r="M495" s="6">
        <v>280000</v>
      </c>
      <c r="N495" s="6">
        <v>100240</v>
      </c>
      <c r="O495" s="6" t="s">
        <v>31</v>
      </c>
      <c r="P495" s="6" t="s">
        <v>32</v>
      </c>
      <c r="Q495" s="6" t="s">
        <v>26</v>
      </c>
    </row>
    <row r="496" spans="1:17" x14ac:dyDescent="0.3">
      <c r="A496" s="6" t="s">
        <v>1003</v>
      </c>
      <c r="B496" s="7">
        <v>45952</v>
      </c>
      <c r="C496" s="6" t="s">
        <v>658</v>
      </c>
      <c r="D496" s="6" t="s">
        <v>659</v>
      </c>
      <c r="E496" s="6" t="s">
        <v>20</v>
      </c>
      <c r="F496" s="6" t="s">
        <v>20</v>
      </c>
      <c r="G496" s="6" t="s">
        <v>38</v>
      </c>
      <c r="H496" s="6" t="s">
        <v>214</v>
      </c>
      <c r="I496" s="6">
        <v>7</v>
      </c>
      <c r="J496" s="8">
        <v>44400</v>
      </c>
      <c r="K496" s="9">
        <v>0</v>
      </c>
      <c r="L496" s="10">
        <v>0</v>
      </c>
      <c r="M496" s="6">
        <v>0</v>
      </c>
      <c r="N496" s="6">
        <v>0</v>
      </c>
      <c r="O496" s="6" t="s">
        <v>31</v>
      </c>
      <c r="P496" s="6" t="s">
        <v>32</v>
      </c>
      <c r="Q496" s="6" t="s">
        <v>69</v>
      </c>
    </row>
    <row r="497" spans="1:17" x14ac:dyDescent="0.3">
      <c r="A497" s="6" t="s">
        <v>1004</v>
      </c>
      <c r="B497" s="7">
        <v>45953</v>
      </c>
      <c r="C497" s="6" t="s">
        <v>71</v>
      </c>
      <c r="D497" s="6" t="s">
        <v>72</v>
      </c>
      <c r="E497" s="6" t="s">
        <v>20</v>
      </c>
      <c r="F497" s="6" t="s">
        <v>123</v>
      </c>
      <c r="G497" s="6" t="s">
        <v>44</v>
      </c>
      <c r="H497" s="6" t="s">
        <v>45</v>
      </c>
      <c r="I497" s="6">
        <v>2</v>
      </c>
      <c r="J497" s="8">
        <v>552400</v>
      </c>
      <c r="K497" s="9">
        <v>0.15</v>
      </c>
      <c r="L497" s="10">
        <v>939080</v>
      </c>
      <c r="M497" s="6">
        <v>730000</v>
      </c>
      <c r="N497" s="6">
        <v>209080</v>
      </c>
      <c r="O497" s="6" t="s">
        <v>68</v>
      </c>
      <c r="P497" s="6" t="s">
        <v>63</v>
      </c>
      <c r="Q497" s="6" t="s">
        <v>26</v>
      </c>
    </row>
    <row r="498" spans="1:17" x14ac:dyDescent="0.3">
      <c r="A498" s="6" t="s">
        <v>1005</v>
      </c>
      <c r="B498" s="7">
        <v>45953</v>
      </c>
      <c r="C498" s="6" t="s">
        <v>345</v>
      </c>
      <c r="D498" s="6" t="s">
        <v>346</v>
      </c>
      <c r="E498" s="6" t="s">
        <v>67</v>
      </c>
      <c r="F498" s="6" t="s">
        <v>236</v>
      </c>
      <c r="G498" s="6" t="s">
        <v>78</v>
      </c>
      <c r="H498" s="6" t="s">
        <v>115</v>
      </c>
      <c r="I498" s="6">
        <v>2</v>
      </c>
      <c r="J498" s="8">
        <v>88600</v>
      </c>
      <c r="K498" s="9">
        <v>0</v>
      </c>
      <c r="L498" s="10">
        <v>177200</v>
      </c>
      <c r="M498" s="6">
        <v>116000</v>
      </c>
      <c r="N498" s="6">
        <v>61200</v>
      </c>
      <c r="O498" s="6" t="s">
        <v>68</v>
      </c>
      <c r="P498" s="6" t="s">
        <v>63</v>
      </c>
      <c r="Q498" s="6" t="s">
        <v>26</v>
      </c>
    </row>
    <row r="499" spans="1:17" x14ac:dyDescent="0.3">
      <c r="A499" s="6" t="s">
        <v>1006</v>
      </c>
      <c r="B499" s="7">
        <v>45954</v>
      </c>
      <c r="C499" s="6" t="s">
        <v>645</v>
      </c>
      <c r="D499" s="6" t="s">
        <v>646</v>
      </c>
      <c r="E499" s="6" t="s">
        <v>36</v>
      </c>
      <c r="F499" s="6" t="s">
        <v>37</v>
      </c>
      <c r="G499" s="6" t="s">
        <v>22</v>
      </c>
      <c r="H499" s="6" t="s">
        <v>58</v>
      </c>
      <c r="I499" s="6">
        <v>2</v>
      </c>
      <c r="J499" s="8">
        <v>91400</v>
      </c>
      <c r="K499" s="9">
        <v>0.08</v>
      </c>
      <c r="L499" s="10">
        <v>168176</v>
      </c>
      <c r="M499" s="6">
        <v>110000</v>
      </c>
      <c r="N499" s="6">
        <v>58176</v>
      </c>
      <c r="O499" s="6" t="s">
        <v>24</v>
      </c>
      <c r="P499" s="6" t="s">
        <v>63</v>
      </c>
      <c r="Q499" s="6" t="s">
        <v>26</v>
      </c>
    </row>
    <row r="500" spans="1:17" x14ac:dyDescent="0.3">
      <c r="A500" s="6" t="s">
        <v>1007</v>
      </c>
      <c r="B500" s="7">
        <v>45954</v>
      </c>
      <c r="C500" s="6" t="s">
        <v>603</v>
      </c>
      <c r="D500" s="6" t="s">
        <v>604</v>
      </c>
      <c r="E500" s="6" t="s">
        <v>87</v>
      </c>
      <c r="F500" s="6" t="s">
        <v>88</v>
      </c>
      <c r="G500" s="6" t="s">
        <v>38</v>
      </c>
      <c r="H500" s="6" t="s">
        <v>39</v>
      </c>
      <c r="I500" s="6">
        <v>7</v>
      </c>
      <c r="J500" s="8">
        <v>28800</v>
      </c>
      <c r="K500" s="9">
        <v>0.05</v>
      </c>
      <c r="L500" s="10">
        <v>191520</v>
      </c>
      <c r="M500" s="6">
        <v>105000</v>
      </c>
      <c r="N500" s="6">
        <v>86520</v>
      </c>
      <c r="O500" s="6" t="s">
        <v>24</v>
      </c>
      <c r="P500" s="6" t="s">
        <v>25</v>
      </c>
      <c r="Q500" s="6" t="s">
        <v>26</v>
      </c>
    </row>
    <row r="501" spans="1:17" x14ac:dyDescent="0.3">
      <c r="A501" s="6" t="s">
        <v>1008</v>
      </c>
      <c r="B501" s="7">
        <v>45955</v>
      </c>
      <c r="C501" s="6" t="s">
        <v>247</v>
      </c>
      <c r="D501" s="6" t="s">
        <v>248</v>
      </c>
      <c r="E501" s="6" t="s">
        <v>30</v>
      </c>
      <c r="F501" s="6" t="s">
        <v>159</v>
      </c>
      <c r="G501" s="6" t="s">
        <v>44</v>
      </c>
      <c r="H501" s="6" t="s">
        <v>45</v>
      </c>
      <c r="I501" s="6">
        <v>3</v>
      </c>
      <c r="J501" s="8">
        <v>489700</v>
      </c>
      <c r="K501" s="9">
        <v>0.05</v>
      </c>
      <c r="L501" s="10">
        <v>1395645</v>
      </c>
      <c r="M501" s="6">
        <v>1095000</v>
      </c>
      <c r="N501" s="6">
        <v>300645</v>
      </c>
      <c r="O501" s="6" t="s">
        <v>40</v>
      </c>
      <c r="P501" s="6" t="s">
        <v>163</v>
      </c>
      <c r="Q501" s="6" t="s">
        <v>26</v>
      </c>
    </row>
    <row r="502" spans="1:17" x14ac:dyDescent="0.3">
      <c r="A502" s="6" t="s">
        <v>1009</v>
      </c>
      <c r="B502" s="7">
        <v>45956</v>
      </c>
      <c r="C502" s="6" t="s">
        <v>770</v>
      </c>
      <c r="D502" s="6" t="s">
        <v>771</v>
      </c>
      <c r="E502" s="6" t="s">
        <v>20</v>
      </c>
      <c r="F502" s="6" t="s">
        <v>62</v>
      </c>
      <c r="G502" s="6" t="s">
        <v>22</v>
      </c>
      <c r="H502" s="6" t="s">
        <v>58</v>
      </c>
      <c r="I502" s="6">
        <v>4</v>
      </c>
      <c r="J502" s="8">
        <v>91500</v>
      </c>
      <c r="K502" s="9">
        <v>0.08</v>
      </c>
      <c r="L502" s="10">
        <v>-336720</v>
      </c>
      <c r="M502" s="6">
        <v>-220000</v>
      </c>
      <c r="N502" s="6">
        <v>-116720</v>
      </c>
      <c r="O502" s="6" t="s">
        <v>40</v>
      </c>
      <c r="P502" s="6" t="s">
        <v>74</v>
      </c>
      <c r="Q502" s="6" t="s">
        <v>105</v>
      </c>
    </row>
    <row r="503" spans="1:17" x14ac:dyDescent="0.3">
      <c r="A503" s="6" t="s">
        <v>1010</v>
      </c>
      <c r="B503" s="7">
        <v>45957</v>
      </c>
      <c r="C503" s="6" t="s">
        <v>950</v>
      </c>
      <c r="D503" s="6" t="s">
        <v>951</v>
      </c>
      <c r="E503" s="6" t="s">
        <v>30</v>
      </c>
      <c r="F503" s="6" t="s">
        <v>30</v>
      </c>
      <c r="G503" s="6" t="s">
        <v>38</v>
      </c>
      <c r="H503" s="6" t="s">
        <v>214</v>
      </c>
      <c r="I503" s="6">
        <v>4</v>
      </c>
      <c r="J503" s="8">
        <v>44600</v>
      </c>
      <c r="K503" s="9">
        <v>0.05</v>
      </c>
      <c r="L503" s="10">
        <v>0</v>
      </c>
      <c r="M503" s="6">
        <v>0</v>
      </c>
      <c r="N503" s="6">
        <v>0</v>
      </c>
      <c r="O503" s="6" t="s">
        <v>40</v>
      </c>
      <c r="P503" s="6" t="s">
        <v>63</v>
      </c>
      <c r="Q503" s="6" t="s">
        <v>69</v>
      </c>
    </row>
    <row r="504" spans="1:17" x14ac:dyDescent="0.3">
      <c r="A504" s="6" t="s">
        <v>1011</v>
      </c>
      <c r="B504" s="7">
        <v>45957</v>
      </c>
      <c r="C504" s="6" t="s">
        <v>110</v>
      </c>
      <c r="D504" s="6" t="s">
        <v>111</v>
      </c>
      <c r="E504" s="6" t="s">
        <v>20</v>
      </c>
      <c r="F504" s="6" t="s">
        <v>21</v>
      </c>
      <c r="G504" s="6" t="s">
        <v>38</v>
      </c>
      <c r="H504" s="6" t="s">
        <v>39</v>
      </c>
      <c r="I504" s="6">
        <v>7</v>
      </c>
      <c r="J504" s="8">
        <v>26300</v>
      </c>
      <c r="K504" s="9">
        <v>0</v>
      </c>
      <c r="L504" s="10">
        <v>184100</v>
      </c>
      <c r="M504" s="6">
        <v>105000</v>
      </c>
      <c r="N504" s="6">
        <v>79100</v>
      </c>
      <c r="O504" s="6" t="s">
        <v>104</v>
      </c>
      <c r="P504" s="6" t="s">
        <v>119</v>
      </c>
      <c r="Q504" s="6" t="s">
        <v>26</v>
      </c>
    </row>
    <row r="505" spans="1:17" x14ac:dyDescent="0.3">
      <c r="A505" s="6" t="s">
        <v>1012</v>
      </c>
      <c r="B505" s="7">
        <v>45957</v>
      </c>
      <c r="C505" s="6" t="s">
        <v>177</v>
      </c>
      <c r="D505" s="6" t="s">
        <v>178</v>
      </c>
      <c r="E505" s="6" t="s">
        <v>36</v>
      </c>
      <c r="F505" s="6" t="s">
        <v>36</v>
      </c>
      <c r="G505" s="6" t="s">
        <v>22</v>
      </c>
      <c r="H505" s="6" t="s">
        <v>49</v>
      </c>
      <c r="I505" s="6">
        <v>4</v>
      </c>
      <c r="J505" s="8">
        <v>1251100</v>
      </c>
      <c r="K505" s="9">
        <v>0.05</v>
      </c>
      <c r="L505" s="10">
        <v>4754180</v>
      </c>
      <c r="M505" s="6">
        <v>3800000</v>
      </c>
      <c r="N505" s="6">
        <v>954180</v>
      </c>
      <c r="O505" s="6" t="s">
        <v>24</v>
      </c>
      <c r="P505" s="6" t="s">
        <v>163</v>
      </c>
      <c r="Q505" s="6" t="s">
        <v>26</v>
      </c>
    </row>
    <row r="506" spans="1:17" x14ac:dyDescent="0.3">
      <c r="A506" s="6" t="s">
        <v>1013</v>
      </c>
      <c r="B506" s="7">
        <v>45960</v>
      </c>
      <c r="C506" s="6" t="s">
        <v>588</v>
      </c>
      <c r="D506" s="6" t="s">
        <v>589</v>
      </c>
      <c r="E506" s="6" t="s">
        <v>20</v>
      </c>
      <c r="F506" s="6" t="s">
        <v>21</v>
      </c>
      <c r="G506" s="6" t="s">
        <v>22</v>
      </c>
      <c r="H506" s="6" t="s">
        <v>83</v>
      </c>
      <c r="I506" s="6">
        <v>2</v>
      </c>
      <c r="J506" s="8">
        <v>644700</v>
      </c>
      <c r="K506" s="9">
        <v>0.08</v>
      </c>
      <c r="L506" s="10">
        <v>1186248</v>
      </c>
      <c r="M506" s="6">
        <v>940000</v>
      </c>
      <c r="N506" s="6">
        <v>246248</v>
      </c>
      <c r="O506" s="6" t="s">
        <v>31</v>
      </c>
      <c r="P506" s="6" t="s">
        <v>32</v>
      </c>
      <c r="Q506" s="6" t="s">
        <v>26</v>
      </c>
    </row>
    <row r="507" spans="1:17" x14ac:dyDescent="0.3">
      <c r="A507" s="6" t="s">
        <v>1014</v>
      </c>
      <c r="B507" s="7">
        <v>45960</v>
      </c>
      <c r="C507" s="6" t="s">
        <v>464</v>
      </c>
      <c r="D507" s="6" t="s">
        <v>465</v>
      </c>
      <c r="E507" s="6" t="s">
        <v>20</v>
      </c>
      <c r="F507" s="6" t="s">
        <v>62</v>
      </c>
      <c r="G507" s="6" t="s">
        <v>22</v>
      </c>
      <c r="H507" s="6" t="s">
        <v>49</v>
      </c>
      <c r="I507" s="6">
        <v>4</v>
      </c>
      <c r="J507" s="8">
        <v>1290300</v>
      </c>
      <c r="K507" s="9">
        <v>0</v>
      </c>
      <c r="L507" s="10">
        <v>0</v>
      </c>
      <c r="M507" s="6">
        <v>0</v>
      </c>
      <c r="N507" s="6">
        <v>0</v>
      </c>
      <c r="O507" s="6" t="s">
        <v>68</v>
      </c>
      <c r="P507" s="6" t="s">
        <v>25</v>
      </c>
      <c r="Q507" s="6" t="s">
        <v>69</v>
      </c>
    </row>
    <row r="508" spans="1:17" x14ac:dyDescent="0.3">
      <c r="A508" s="6" t="s">
        <v>1015</v>
      </c>
      <c r="B508" s="7">
        <v>45960</v>
      </c>
      <c r="C508" s="6" t="s">
        <v>253</v>
      </c>
      <c r="D508" s="6" t="s">
        <v>254</v>
      </c>
      <c r="E508" s="6" t="s">
        <v>20</v>
      </c>
      <c r="F508" s="6" t="s">
        <v>20</v>
      </c>
      <c r="G508" s="6" t="s">
        <v>38</v>
      </c>
      <c r="H508" s="6" t="s">
        <v>214</v>
      </c>
      <c r="I508" s="6">
        <v>5</v>
      </c>
      <c r="J508" s="8">
        <v>47200</v>
      </c>
      <c r="K508" s="9">
        <v>0</v>
      </c>
      <c r="L508" s="10">
        <v>236000</v>
      </c>
      <c r="M508" s="6">
        <v>130000</v>
      </c>
      <c r="N508" s="6">
        <v>106000</v>
      </c>
      <c r="O508" s="6" t="s">
        <v>24</v>
      </c>
      <c r="P508" s="6" t="s">
        <v>119</v>
      </c>
      <c r="Q508" s="6" t="s">
        <v>26</v>
      </c>
    </row>
    <row r="509" spans="1:17" x14ac:dyDescent="0.3">
      <c r="A509" s="6" t="s">
        <v>1016</v>
      </c>
      <c r="B509" s="7">
        <v>45960</v>
      </c>
      <c r="C509" s="6" t="s">
        <v>622</v>
      </c>
      <c r="D509" s="6" t="s">
        <v>623</v>
      </c>
      <c r="E509" s="6" t="s">
        <v>87</v>
      </c>
      <c r="F509" s="6" t="s">
        <v>88</v>
      </c>
      <c r="G509" s="6" t="s">
        <v>38</v>
      </c>
      <c r="H509" s="6" t="s">
        <v>39</v>
      </c>
      <c r="I509" s="6">
        <v>5</v>
      </c>
      <c r="J509" s="8">
        <v>30100</v>
      </c>
      <c r="K509" s="9">
        <v>0.1</v>
      </c>
      <c r="L509" s="10">
        <v>135450</v>
      </c>
      <c r="M509" s="6">
        <v>75000</v>
      </c>
      <c r="N509" s="6">
        <v>60450</v>
      </c>
      <c r="O509" s="6" t="s">
        <v>104</v>
      </c>
      <c r="P509" s="6" t="s">
        <v>32</v>
      </c>
      <c r="Q509" s="6" t="s">
        <v>26</v>
      </c>
    </row>
    <row r="510" spans="1:17" x14ac:dyDescent="0.3">
      <c r="A510" s="6" t="s">
        <v>1017</v>
      </c>
      <c r="B510" s="7">
        <v>45960</v>
      </c>
      <c r="C510" s="6" t="s">
        <v>339</v>
      </c>
      <c r="D510" s="6" t="s">
        <v>340</v>
      </c>
      <c r="E510" s="6" t="s">
        <v>20</v>
      </c>
      <c r="F510" s="6" t="s">
        <v>21</v>
      </c>
      <c r="G510" s="6" t="s">
        <v>38</v>
      </c>
      <c r="H510" s="6" t="s">
        <v>127</v>
      </c>
      <c r="I510" s="6">
        <v>4</v>
      </c>
      <c r="J510" s="8">
        <v>247700</v>
      </c>
      <c r="K510" s="9">
        <v>0.02</v>
      </c>
      <c r="L510" s="10">
        <v>970984</v>
      </c>
      <c r="M510" s="6">
        <v>660000</v>
      </c>
      <c r="N510" s="6">
        <v>310984</v>
      </c>
      <c r="O510" s="6" t="s">
        <v>40</v>
      </c>
      <c r="P510" s="6" t="s">
        <v>119</v>
      </c>
      <c r="Q510" s="6" t="s">
        <v>26</v>
      </c>
    </row>
    <row r="511" spans="1:17" x14ac:dyDescent="0.3">
      <c r="A511" s="6" t="s">
        <v>1018</v>
      </c>
      <c r="B511" s="7">
        <v>45961</v>
      </c>
      <c r="C511" s="6" t="s">
        <v>886</v>
      </c>
      <c r="D511" s="6" t="s">
        <v>887</v>
      </c>
      <c r="E511" s="6" t="s">
        <v>20</v>
      </c>
      <c r="F511" s="6" t="s">
        <v>123</v>
      </c>
      <c r="G511" s="6" t="s">
        <v>38</v>
      </c>
      <c r="H511" s="6" t="s">
        <v>214</v>
      </c>
      <c r="I511" s="6">
        <v>1</v>
      </c>
      <c r="J511" s="8">
        <v>45900</v>
      </c>
      <c r="K511" s="9">
        <v>0</v>
      </c>
      <c r="L511" s="10">
        <v>45900</v>
      </c>
      <c r="M511" s="6">
        <v>26000</v>
      </c>
      <c r="N511" s="6">
        <v>19900</v>
      </c>
      <c r="O511" s="6" t="s">
        <v>104</v>
      </c>
      <c r="P511" s="6" t="s">
        <v>163</v>
      </c>
      <c r="Q511" s="6" t="s">
        <v>26</v>
      </c>
    </row>
    <row r="512" spans="1:17" x14ac:dyDescent="0.3">
      <c r="A512" s="6" t="s">
        <v>1019</v>
      </c>
      <c r="B512" s="7">
        <v>45962</v>
      </c>
      <c r="C512" s="6" t="s">
        <v>146</v>
      </c>
      <c r="D512" s="6" t="s">
        <v>147</v>
      </c>
      <c r="E512" s="6" t="s">
        <v>87</v>
      </c>
      <c r="F512" s="6" t="s">
        <v>131</v>
      </c>
      <c r="G512" s="6" t="s">
        <v>44</v>
      </c>
      <c r="H512" s="6" t="s">
        <v>89</v>
      </c>
      <c r="I512" s="6">
        <v>1</v>
      </c>
      <c r="J512" s="8">
        <v>192600</v>
      </c>
      <c r="K512" s="9">
        <v>0</v>
      </c>
      <c r="L512" s="10">
        <v>192600</v>
      </c>
      <c r="M512" s="6">
        <v>115000</v>
      </c>
      <c r="N512" s="6">
        <v>77600</v>
      </c>
      <c r="O512" s="6" t="s">
        <v>68</v>
      </c>
      <c r="P512" s="6" t="s">
        <v>32</v>
      </c>
      <c r="Q512" s="6" t="s">
        <v>26</v>
      </c>
    </row>
    <row r="513" spans="1:17" x14ac:dyDescent="0.3">
      <c r="A513" s="6" t="s">
        <v>1020</v>
      </c>
      <c r="B513" s="7">
        <v>45962</v>
      </c>
      <c r="C513" s="6" t="s">
        <v>387</v>
      </c>
      <c r="D513" s="6" t="s">
        <v>388</v>
      </c>
      <c r="E513" s="6" t="s">
        <v>20</v>
      </c>
      <c r="F513" s="6" t="s">
        <v>21</v>
      </c>
      <c r="G513" s="6" t="s">
        <v>22</v>
      </c>
      <c r="H513" s="6" t="s">
        <v>23</v>
      </c>
      <c r="I513" s="6">
        <v>4</v>
      </c>
      <c r="J513" s="8">
        <v>408400</v>
      </c>
      <c r="K513" s="9">
        <v>0.08</v>
      </c>
      <c r="L513" s="10">
        <v>1502912</v>
      </c>
      <c r="M513" s="6">
        <v>1200000</v>
      </c>
      <c r="N513" s="6">
        <v>302912</v>
      </c>
      <c r="O513" s="6" t="s">
        <v>24</v>
      </c>
      <c r="P513" s="6" t="s">
        <v>74</v>
      </c>
      <c r="Q513" s="6" t="s">
        <v>26</v>
      </c>
    </row>
    <row r="514" spans="1:17" x14ac:dyDescent="0.3">
      <c r="A514" s="6" t="s">
        <v>1021</v>
      </c>
      <c r="B514" s="7">
        <v>45962</v>
      </c>
      <c r="C514" s="6" t="s">
        <v>680</v>
      </c>
      <c r="D514" s="6" t="s">
        <v>681</v>
      </c>
      <c r="E514" s="6" t="s">
        <v>30</v>
      </c>
      <c r="F514" s="6" t="s">
        <v>222</v>
      </c>
      <c r="G514" s="6" t="s">
        <v>38</v>
      </c>
      <c r="H514" s="6" t="s">
        <v>214</v>
      </c>
      <c r="I514" s="6">
        <v>1</v>
      </c>
      <c r="J514" s="8">
        <v>43200</v>
      </c>
      <c r="K514" s="9">
        <v>0</v>
      </c>
      <c r="L514" s="10">
        <v>43200</v>
      </c>
      <c r="M514" s="6">
        <v>26000</v>
      </c>
      <c r="N514" s="6">
        <v>17200</v>
      </c>
      <c r="O514" s="6" t="s">
        <v>40</v>
      </c>
      <c r="P514" s="6" t="s">
        <v>90</v>
      </c>
      <c r="Q514" s="6" t="s">
        <v>26</v>
      </c>
    </row>
    <row r="515" spans="1:17" x14ac:dyDescent="0.3">
      <c r="A515" s="6" t="s">
        <v>1022</v>
      </c>
      <c r="B515" s="7">
        <v>45963</v>
      </c>
      <c r="C515" s="6" t="s">
        <v>65</v>
      </c>
      <c r="D515" s="6" t="s">
        <v>66</v>
      </c>
      <c r="E515" s="6" t="s">
        <v>20</v>
      </c>
      <c r="F515" s="6" t="s">
        <v>20</v>
      </c>
      <c r="G515" s="6" t="s">
        <v>22</v>
      </c>
      <c r="H515" s="6" t="s">
        <v>83</v>
      </c>
      <c r="I515" s="6">
        <v>6</v>
      </c>
      <c r="J515" s="8">
        <v>635800</v>
      </c>
      <c r="K515" s="9">
        <v>0.02</v>
      </c>
      <c r="L515" s="10">
        <v>3738504</v>
      </c>
      <c r="M515" s="6">
        <v>2820000</v>
      </c>
      <c r="N515" s="6">
        <v>918504</v>
      </c>
      <c r="O515" s="6" t="s">
        <v>104</v>
      </c>
      <c r="P515" s="6" t="s">
        <v>163</v>
      </c>
      <c r="Q515" s="6" t="s">
        <v>26</v>
      </c>
    </row>
    <row r="516" spans="1:17" x14ac:dyDescent="0.3">
      <c r="A516" s="6" t="s">
        <v>1023</v>
      </c>
      <c r="B516" s="7">
        <v>45964</v>
      </c>
      <c r="C516" s="6" t="s">
        <v>874</v>
      </c>
      <c r="D516" s="6" t="s">
        <v>875</v>
      </c>
      <c r="E516" s="6" t="s">
        <v>36</v>
      </c>
      <c r="F516" s="6" t="s">
        <v>36</v>
      </c>
      <c r="G516" s="6" t="s">
        <v>38</v>
      </c>
      <c r="H516" s="6" t="s">
        <v>53</v>
      </c>
      <c r="I516" s="6">
        <v>2</v>
      </c>
      <c r="J516" s="8">
        <v>381700</v>
      </c>
      <c r="K516" s="9">
        <v>0.02</v>
      </c>
      <c r="L516" s="10">
        <v>748132</v>
      </c>
      <c r="M516" s="6">
        <v>560000</v>
      </c>
      <c r="N516" s="6">
        <v>188132</v>
      </c>
      <c r="O516" s="6" t="s">
        <v>68</v>
      </c>
      <c r="P516" s="6" t="s">
        <v>54</v>
      </c>
      <c r="Q516" s="6" t="s">
        <v>26</v>
      </c>
    </row>
    <row r="517" spans="1:17" x14ac:dyDescent="0.3">
      <c r="A517" s="6" t="s">
        <v>1024</v>
      </c>
      <c r="B517" s="7">
        <v>45964</v>
      </c>
      <c r="C517" s="6" t="s">
        <v>1025</v>
      </c>
      <c r="D517" s="6" t="s">
        <v>1026</v>
      </c>
      <c r="E517" s="6" t="s">
        <v>20</v>
      </c>
      <c r="F517" s="6" t="s">
        <v>21</v>
      </c>
      <c r="G517" s="6" t="s">
        <v>78</v>
      </c>
      <c r="H517" s="6" t="s">
        <v>188</v>
      </c>
      <c r="I517" s="6">
        <v>5</v>
      </c>
      <c r="J517" s="8">
        <v>87600</v>
      </c>
      <c r="K517" s="9">
        <v>0.08</v>
      </c>
      <c r="L517" s="10">
        <v>402960</v>
      </c>
      <c r="M517" s="6">
        <v>260000</v>
      </c>
      <c r="N517" s="6">
        <v>142960</v>
      </c>
      <c r="O517" s="6" t="s">
        <v>24</v>
      </c>
      <c r="P517" s="6" t="s">
        <v>32</v>
      </c>
      <c r="Q517" s="6" t="s">
        <v>26</v>
      </c>
    </row>
    <row r="518" spans="1:17" x14ac:dyDescent="0.3">
      <c r="A518" s="6" t="s">
        <v>1027</v>
      </c>
      <c r="B518" s="7">
        <v>45964</v>
      </c>
      <c r="C518" s="6" t="s">
        <v>286</v>
      </c>
      <c r="D518" s="6" t="s">
        <v>287</v>
      </c>
      <c r="E518" s="6" t="s">
        <v>20</v>
      </c>
      <c r="F518" s="6" t="s">
        <v>123</v>
      </c>
      <c r="G518" s="6" t="s">
        <v>44</v>
      </c>
      <c r="H518" s="6" t="s">
        <v>73</v>
      </c>
      <c r="I518" s="6">
        <v>5</v>
      </c>
      <c r="J518" s="8">
        <v>312200</v>
      </c>
      <c r="K518" s="9">
        <v>0</v>
      </c>
      <c r="L518" s="10">
        <v>1561000</v>
      </c>
      <c r="M518" s="6">
        <v>1050000</v>
      </c>
      <c r="N518" s="6">
        <v>511000</v>
      </c>
      <c r="O518" s="6" t="s">
        <v>68</v>
      </c>
      <c r="P518" s="6" t="s">
        <v>32</v>
      </c>
      <c r="Q518" s="6" t="s">
        <v>26</v>
      </c>
    </row>
    <row r="519" spans="1:17" x14ac:dyDescent="0.3">
      <c r="A519" s="6" t="s">
        <v>1028</v>
      </c>
      <c r="B519" s="7">
        <v>45965</v>
      </c>
      <c r="C519" s="6" t="s">
        <v>283</v>
      </c>
      <c r="D519" s="6" t="s">
        <v>284</v>
      </c>
      <c r="E519" s="6" t="s">
        <v>36</v>
      </c>
      <c r="F519" s="6" t="s">
        <v>36</v>
      </c>
      <c r="G519" s="6" t="s">
        <v>44</v>
      </c>
      <c r="H519" s="6" t="s">
        <v>89</v>
      </c>
      <c r="I519" s="6">
        <v>7</v>
      </c>
      <c r="J519" s="8">
        <v>180700</v>
      </c>
      <c r="K519" s="9">
        <v>0.08</v>
      </c>
      <c r="L519" s="10">
        <v>1163708</v>
      </c>
      <c r="M519" s="6">
        <v>805000</v>
      </c>
      <c r="N519" s="6">
        <v>358708</v>
      </c>
      <c r="O519" s="6" t="s">
        <v>68</v>
      </c>
      <c r="P519" s="6" t="s">
        <v>90</v>
      </c>
      <c r="Q519" s="6" t="s">
        <v>26</v>
      </c>
    </row>
    <row r="520" spans="1:17" x14ac:dyDescent="0.3">
      <c r="A520" s="6" t="s">
        <v>1029</v>
      </c>
      <c r="B520" s="7">
        <v>45966</v>
      </c>
      <c r="C520" s="6" t="s">
        <v>56</v>
      </c>
      <c r="D520" s="6" t="s">
        <v>57</v>
      </c>
      <c r="E520" s="6" t="s">
        <v>20</v>
      </c>
      <c r="F520" s="6" t="s">
        <v>62</v>
      </c>
      <c r="G520" s="6" t="s">
        <v>44</v>
      </c>
      <c r="H520" s="6" t="s">
        <v>89</v>
      </c>
      <c r="I520" s="6">
        <v>1</v>
      </c>
      <c r="J520" s="8">
        <v>168900</v>
      </c>
      <c r="K520" s="9">
        <v>0.05</v>
      </c>
      <c r="L520" s="10">
        <v>-160455</v>
      </c>
      <c r="M520" s="6">
        <v>-115000</v>
      </c>
      <c r="N520" s="6">
        <v>-45455</v>
      </c>
      <c r="O520" s="6" t="s">
        <v>68</v>
      </c>
      <c r="P520" s="6" t="s">
        <v>25</v>
      </c>
      <c r="Q520" s="6" t="s">
        <v>105</v>
      </c>
    </row>
    <row r="521" spans="1:17" x14ac:dyDescent="0.3">
      <c r="A521" s="6" t="s">
        <v>1030</v>
      </c>
      <c r="B521" s="7">
        <v>45966</v>
      </c>
      <c r="C521" s="6" t="s">
        <v>286</v>
      </c>
      <c r="D521" s="6" t="s">
        <v>287</v>
      </c>
      <c r="E521" s="6" t="s">
        <v>20</v>
      </c>
      <c r="F521" s="6" t="s">
        <v>123</v>
      </c>
      <c r="G521" s="6" t="s">
        <v>38</v>
      </c>
      <c r="H521" s="6" t="s">
        <v>53</v>
      </c>
      <c r="I521" s="6">
        <v>7</v>
      </c>
      <c r="J521" s="8">
        <v>366300</v>
      </c>
      <c r="K521" s="9">
        <v>0.05</v>
      </c>
      <c r="L521" s="10">
        <v>2435895</v>
      </c>
      <c r="M521" s="6">
        <v>1960000</v>
      </c>
      <c r="N521" s="6">
        <v>475895</v>
      </c>
      <c r="O521" s="6" t="s">
        <v>31</v>
      </c>
      <c r="P521" s="6" t="s">
        <v>74</v>
      </c>
      <c r="Q521" s="6" t="s">
        <v>26</v>
      </c>
    </row>
    <row r="522" spans="1:17" x14ac:dyDescent="0.3">
      <c r="A522" s="6" t="s">
        <v>1031</v>
      </c>
      <c r="B522" s="7">
        <v>45966</v>
      </c>
      <c r="C522" s="6" t="s">
        <v>202</v>
      </c>
      <c r="D522" s="6" t="s">
        <v>203</v>
      </c>
      <c r="E522" s="6" t="s">
        <v>20</v>
      </c>
      <c r="F522" s="6" t="s">
        <v>20</v>
      </c>
      <c r="G522" s="6" t="s">
        <v>78</v>
      </c>
      <c r="H522" s="6" t="s">
        <v>79</v>
      </c>
      <c r="I522" s="6">
        <v>7</v>
      </c>
      <c r="J522" s="8">
        <v>32200</v>
      </c>
      <c r="K522" s="9">
        <v>0.1</v>
      </c>
      <c r="L522" s="10">
        <v>202860</v>
      </c>
      <c r="M522" s="6">
        <v>126000</v>
      </c>
      <c r="N522" s="6">
        <v>76860</v>
      </c>
      <c r="O522" s="6" t="s">
        <v>31</v>
      </c>
      <c r="P522" s="6" t="s">
        <v>25</v>
      </c>
      <c r="Q522" s="6" t="s">
        <v>26</v>
      </c>
    </row>
    <row r="523" spans="1:17" x14ac:dyDescent="0.3">
      <c r="A523" s="6" t="s">
        <v>1032</v>
      </c>
      <c r="B523" s="7">
        <v>45966</v>
      </c>
      <c r="C523" s="6" t="s">
        <v>687</v>
      </c>
      <c r="D523" s="6" t="s">
        <v>688</v>
      </c>
      <c r="E523" s="6" t="s">
        <v>30</v>
      </c>
      <c r="F523" s="6" t="s">
        <v>30</v>
      </c>
      <c r="G523" s="6" t="s">
        <v>22</v>
      </c>
      <c r="H523" s="6" t="s">
        <v>83</v>
      </c>
      <c r="I523" s="6">
        <v>2</v>
      </c>
      <c r="J523" s="8">
        <v>598600</v>
      </c>
      <c r="K523" s="9">
        <v>0.02</v>
      </c>
      <c r="L523" s="10">
        <v>1173256</v>
      </c>
      <c r="M523" s="6">
        <v>940000</v>
      </c>
      <c r="N523" s="6">
        <v>233256</v>
      </c>
      <c r="O523" s="6" t="s">
        <v>68</v>
      </c>
      <c r="P523" s="6" t="s">
        <v>63</v>
      </c>
      <c r="Q523" s="6" t="s">
        <v>26</v>
      </c>
    </row>
    <row r="524" spans="1:17" x14ac:dyDescent="0.3">
      <c r="A524" s="6" t="s">
        <v>1033</v>
      </c>
      <c r="B524" s="7">
        <v>45968</v>
      </c>
      <c r="C524" s="6" t="s">
        <v>554</v>
      </c>
      <c r="D524" s="6" t="s">
        <v>555</v>
      </c>
      <c r="E524" s="6" t="s">
        <v>20</v>
      </c>
      <c r="F524" s="6" t="s">
        <v>123</v>
      </c>
      <c r="G524" s="6" t="s">
        <v>38</v>
      </c>
      <c r="H524" s="6" t="s">
        <v>53</v>
      </c>
      <c r="I524" s="6">
        <v>6</v>
      </c>
      <c r="J524" s="8">
        <v>386500</v>
      </c>
      <c r="K524" s="9">
        <v>0.15</v>
      </c>
      <c r="L524" s="10">
        <v>1971150</v>
      </c>
      <c r="M524" s="6">
        <v>1680000</v>
      </c>
      <c r="N524" s="6">
        <v>291150</v>
      </c>
      <c r="O524" s="6" t="s">
        <v>40</v>
      </c>
      <c r="P524" s="6" t="s">
        <v>163</v>
      </c>
      <c r="Q524" s="6" t="s">
        <v>26</v>
      </c>
    </row>
    <row r="525" spans="1:17" x14ac:dyDescent="0.3">
      <c r="A525" s="6" t="s">
        <v>1034</v>
      </c>
      <c r="B525" s="7">
        <v>45968</v>
      </c>
      <c r="C525" s="6" t="s">
        <v>568</v>
      </c>
      <c r="D525" s="6" t="s">
        <v>569</v>
      </c>
      <c r="E525" s="6" t="s">
        <v>20</v>
      </c>
      <c r="F525" s="6" t="s">
        <v>21</v>
      </c>
      <c r="G525" s="6" t="s">
        <v>38</v>
      </c>
      <c r="H525" s="6" t="s">
        <v>214</v>
      </c>
      <c r="I525" s="6">
        <v>4</v>
      </c>
      <c r="J525" s="8">
        <v>47500</v>
      </c>
      <c r="K525" s="9">
        <v>0</v>
      </c>
      <c r="L525" s="10">
        <v>-190000</v>
      </c>
      <c r="M525" s="6">
        <v>-104000</v>
      </c>
      <c r="N525" s="6">
        <v>-86000</v>
      </c>
      <c r="O525" s="6" t="s">
        <v>68</v>
      </c>
      <c r="P525" s="6" t="s">
        <v>25</v>
      </c>
      <c r="Q525" s="6" t="s">
        <v>105</v>
      </c>
    </row>
    <row r="526" spans="1:17" x14ac:dyDescent="0.3">
      <c r="A526" s="6" t="s">
        <v>1035</v>
      </c>
      <c r="B526" s="7">
        <v>45968</v>
      </c>
      <c r="C526" s="6" t="s">
        <v>1036</v>
      </c>
      <c r="D526" s="6" t="s">
        <v>1037</v>
      </c>
      <c r="E526" s="6" t="s">
        <v>36</v>
      </c>
      <c r="F526" s="6" t="s">
        <v>37</v>
      </c>
      <c r="G526" s="6" t="s">
        <v>44</v>
      </c>
      <c r="H526" s="6" t="s">
        <v>89</v>
      </c>
      <c r="I526" s="6">
        <v>2</v>
      </c>
      <c r="J526" s="8">
        <v>172600</v>
      </c>
      <c r="K526" s="9">
        <v>0.05</v>
      </c>
      <c r="L526" s="10">
        <v>327940</v>
      </c>
      <c r="M526" s="6">
        <v>230000</v>
      </c>
      <c r="N526" s="6">
        <v>97940</v>
      </c>
      <c r="O526" s="6" t="s">
        <v>104</v>
      </c>
      <c r="P526" s="6" t="s">
        <v>32</v>
      </c>
      <c r="Q526" s="6" t="s">
        <v>26</v>
      </c>
    </row>
    <row r="527" spans="1:17" x14ac:dyDescent="0.3">
      <c r="A527" s="6" t="s">
        <v>1038</v>
      </c>
      <c r="B527" s="7">
        <v>45968</v>
      </c>
      <c r="C527" s="6" t="s">
        <v>791</v>
      </c>
      <c r="D527" s="6" t="s">
        <v>792</v>
      </c>
      <c r="E527" s="6" t="s">
        <v>20</v>
      </c>
      <c r="F527" s="6" t="s">
        <v>21</v>
      </c>
      <c r="G527" s="6" t="s">
        <v>78</v>
      </c>
      <c r="H527" s="6" t="s">
        <v>318</v>
      </c>
      <c r="I527" s="6">
        <v>4</v>
      </c>
      <c r="J527" s="8">
        <v>78100</v>
      </c>
      <c r="K527" s="9">
        <v>0.05</v>
      </c>
      <c r="L527" s="10">
        <v>296780</v>
      </c>
      <c r="M527" s="6">
        <v>172000</v>
      </c>
      <c r="N527" s="6">
        <v>124780</v>
      </c>
      <c r="O527" s="6" t="s">
        <v>31</v>
      </c>
      <c r="P527" s="6" t="s">
        <v>54</v>
      </c>
      <c r="Q527" s="6" t="s">
        <v>26</v>
      </c>
    </row>
    <row r="528" spans="1:17" x14ac:dyDescent="0.3">
      <c r="A528" s="6" t="s">
        <v>1039</v>
      </c>
      <c r="B528" s="7">
        <v>45968</v>
      </c>
      <c r="C528" s="6" t="s">
        <v>353</v>
      </c>
      <c r="D528" s="6" t="s">
        <v>354</v>
      </c>
      <c r="E528" s="6" t="s">
        <v>67</v>
      </c>
      <c r="F528" s="6" t="s">
        <v>67</v>
      </c>
      <c r="G528" s="6" t="s">
        <v>44</v>
      </c>
      <c r="H528" s="6" t="s">
        <v>45</v>
      </c>
      <c r="I528" s="6">
        <v>7</v>
      </c>
      <c r="J528" s="8">
        <v>504200</v>
      </c>
      <c r="K528" s="9">
        <v>0</v>
      </c>
      <c r="L528" s="10">
        <v>3529400</v>
      </c>
      <c r="M528" s="6">
        <v>2555000</v>
      </c>
      <c r="N528" s="6">
        <v>974400</v>
      </c>
      <c r="O528" s="6" t="s">
        <v>31</v>
      </c>
      <c r="P528" s="6" t="s">
        <v>119</v>
      </c>
      <c r="Q528" s="6" t="s">
        <v>26</v>
      </c>
    </row>
    <row r="529" spans="1:17" x14ac:dyDescent="0.3">
      <c r="A529" s="6" t="s">
        <v>1040</v>
      </c>
      <c r="B529" s="7">
        <v>45968</v>
      </c>
      <c r="C529" s="6" t="s">
        <v>92</v>
      </c>
      <c r="D529" s="6" t="s">
        <v>93</v>
      </c>
      <c r="E529" s="6" t="s">
        <v>20</v>
      </c>
      <c r="F529" s="6" t="s">
        <v>20</v>
      </c>
      <c r="G529" s="6" t="s">
        <v>44</v>
      </c>
      <c r="H529" s="6" t="s">
        <v>73</v>
      </c>
      <c r="I529" s="6">
        <v>4</v>
      </c>
      <c r="J529" s="8">
        <v>312200</v>
      </c>
      <c r="K529" s="9">
        <v>0.02</v>
      </c>
      <c r="L529" s="10">
        <v>1223824</v>
      </c>
      <c r="M529" s="6">
        <v>840000</v>
      </c>
      <c r="N529" s="6">
        <v>383824</v>
      </c>
      <c r="O529" s="6" t="s">
        <v>24</v>
      </c>
      <c r="P529" s="6" t="s">
        <v>25</v>
      </c>
      <c r="Q529" s="6" t="s">
        <v>26</v>
      </c>
    </row>
    <row r="530" spans="1:17" x14ac:dyDescent="0.3">
      <c r="A530" s="6" t="s">
        <v>1041</v>
      </c>
      <c r="B530" s="7">
        <v>45970</v>
      </c>
      <c r="C530" s="6" t="s">
        <v>449</v>
      </c>
      <c r="D530" s="6" t="s">
        <v>450</v>
      </c>
      <c r="E530" s="6" t="s">
        <v>20</v>
      </c>
      <c r="F530" s="6" t="s">
        <v>123</v>
      </c>
      <c r="G530" s="6" t="s">
        <v>22</v>
      </c>
      <c r="H530" s="6" t="s">
        <v>49</v>
      </c>
      <c r="I530" s="6">
        <v>5</v>
      </c>
      <c r="J530" s="8">
        <v>1192700</v>
      </c>
      <c r="K530" s="9">
        <v>0.08</v>
      </c>
      <c r="L530" s="10">
        <v>5486420</v>
      </c>
      <c r="M530" s="6">
        <v>4750000</v>
      </c>
      <c r="N530" s="6">
        <v>736420</v>
      </c>
      <c r="O530" s="6" t="s">
        <v>40</v>
      </c>
      <c r="P530" s="6" t="s">
        <v>90</v>
      </c>
      <c r="Q530" s="6" t="s">
        <v>26</v>
      </c>
    </row>
    <row r="531" spans="1:17" x14ac:dyDescent="0.3">
      <c r="A531" s="6" t="s">
        <v>1042</v>
      </c>
      <c r="B531" s="7">
        <v>45971</v>
      </c>
      <c r="C531" s="6" t="s">
        <v>71</v>
      </c>
      <c r="D531" s="6" t="s">
        <v>72</v>
      </c>
      <c r="E531" s="6" t="s">
        <v>87</v>
      </c>
      <c r="F531" s="6" t="s">
        <v>88</v>
      </c>
      <c r="G531" s="6" t="s">
        <v>78</v>
      </c>
      <c r="H531" s="6" t="s">
        <v>115</v>
      </c>
      <c r="I531" s="6">
        <v>2</v>
      </c>
      <c r="J531" s="8">
        <v>84200</v>
      </c>
      <c r="K531" s="9">
        <v>0</v>
      </c>
      <c r="L531" s="10">
        <v>168400</v>
      </c>
      <c r="M531" s="6">
        <v>116000</v>
      </c>
      <c r="N531" s="6">
        <v>52400</v>
      </c>
      <c r="O531" s="6" t="s">
        <v>40</v>
      </c>
      <c r="P531" s="6" t="s">
        <v>163</v>
      </c>
      <c r="Q531" s="6" t="s">
        <v>26</v>
      </c>
    </row>
    <row r="532" spans="1:17" x14ac:dyDescent="0.3">
      <c r="A532" s="6" t="s">
        <v>1043</v>
      </c>
      <c r="B532" s="7">
        <v>45971</v>
      </c>
      <c r="C532" s="6" t="s">
        <v>1044</v>
      </c>
      <c r="D532" s="6" t="s">
        <v>1045</v>
      </c>
      <c r="E532" s="6" t="s">
        <v>20</v>
      </c>
      <c r="F532" s="6" t="s">
        <v>123</v>
      </c>
      <c r="G532" s="6" t="s">
        <v>22</v>
      </c>
      <c r="H532" s="6" t="s">
        <v>83</v>
      </c>
      <c r="I532" s="6">
        <v>3</v>
      </c>
      <c r="J532" s="8">
        <v>660700</v>
      </c>
      <c r="K532" s="9">
        <v>0</v>
      </c>
      <c r="L532" s="10">
        <v>1982100</v>
      </c>
      <c r="M532" s="6">
        <v>1410000</v>
      </c>
      <c r="N532" s="6">
        <v>572100</v>
      </c>
      <c r="O532" s="6" t="s">
        <v>104</v>
      </c>
      <c r="P532" s="6" t="s">
        <v>119</v>
      </c>
      <c r="Q532" s="6" t="s">
        <v>26</v>
      </c>
    </row>
    <row r="533" spans="1:17" x14ac:dyDescent="0.3">
      <c r="A533" s="6" t="s">
        <v>1046</v>
      </c>
      <c r="B533" s="7">
        <v>45973</v>
      </c>
      <c r="C533" s="6" t="s">
        <v>95</v>
      </c>
      <c r="D533" s="6" t="s">
        <v>96</v>
      </c>
      <c r="E533" s="6" t="s">
        <v>20</v>
      </c>
      <c r="F533" s="6" t="s">
        <v>21</v>
      </c>
      <c r="G533" s="6" t="s">
        <v>22</v>
      </c>
      <c r="H533" s="6" t="s">
        <v>49</v>
      </c>
      <c r="I533" s="6">
        <v>7</v>
      </c>
      <c r="J533" s="8">
        <v>1194700</v>
      </c>
      <c r="K533" s="9">
        <v>0.1</v>
      </c>
      <c r="L533" s="10">
        <v>7526610</v>
      </c>
      <c r="M533" s="6">
        <v>6650000</v>
      </c>
      <c r="N533" s="6">
        <v>876610</v>
      </c>
      <c r="O533" s="6" t="s">
        <v>31</v>
      </c>
      <c r="P533" s="6" t="s">
        <v>25</v>
      </c>
      <c r="Q533" s="6" t="s">
        <v>26</v>
      </c>
    </row>
    <row r="534" spans="1:17" x14ac:dyDescent="0.3">
      <c r="A534" s="6" t="s">
        <v>1047</v>
      </c>
      <c r="B534" s="7">
        <v>45973</v>
      </c>
      <c r="C534" s="6" t="s">
        <v>512</v>
      </c>
      <c r="D534" s="6" t="s">
        <v>513</v>
      </c>
      <c r="E534" s="6" t="s">
        <v>20</v>
      </c>
      <c r="F534" s="6" t="s">
        <v>21</v>
      </c>
      <c r="G534" s="6" t="s">
        <v>38</v>
      </c>
      <c r="H534" s="6" t="s">
        <v>127</v>
      </c>
      <c r="I534" s="6">
        <v>1</v>
      </c>
      <c r="J534" s="8">
        <v>237300</v>
      </c>
      <c r="K534" s="9">
        <v>0.02</v>
      </c>
      <c r="L534" s="10">
        <v>-232554</v>
      </c>
      <c r="M534" s="6">
        <v>-165000</v>
      </c>
      <c r="N534" s="6">
        <v>-67554</v>
      </c>
      <c r="O534" s="6" t="s">
        <v>24</v>
      </c>
      <c r="P534" s="6" t="s">
        <v>54</v>
      </c>
      <c r="Q534" s="6" t="s">
        <v>105</v>
      </c>
    </row>
    <row r="535" spans="1:17" x14ac:dyDescent="0.3">
      <c r="A535" s="6" t="s">
        <v>1048</v>
      </c>
      <c r="B535" s="7">
        <v>45973</v>
      </c>
      <c r="C535" s="6" t="s">
        <v>92</v>
      </c>
      <c r="D535" s="6" t="s">
        <v>93</v>
      </c>
      <c r="E535" s="6" t="s">
        <v>20</v>
      </c>
      <c r="F535" s="6" t="s">
        <v>21</v>
      </c>
      <c r="G535" s="6" t="s">
        <v>22</v>
      </c>
      <c r="H535" s="6" t="s">
        <v>83</v>
      </c>
      <c r="I535" s="6">
        <v>2</v>
      </c>
      <c r="J535" s="8">
        <v>637300</v>
      </c>
      <c r="K535" s="9">
        <v>0.02</v>
      </c>
      <c r="L535" s="10">
        <v>1249108</v>
      </c>
      <c r="M535" s="6">
        <v>940000</v>
      </c>
      <c r="N535" s="6">
        <v>309108</v>
      </c>
      <c r="O535" s="6" t="s">
        <v>31</v>
      </c>
      <c r="P535" s="6" t="s">
        <v>32</v>
      </c>
      <c r="Q535" s="6" t="s">
        <v>26</v>
      </c>
    </row>
    <row r="536" spans="1:17" x14ac:dyDescent="0.3">
      <c r="A536" s="6" t="s">
        <v>1049</v>
      </c>
      <c r="B536" s="7">
        <v>45975</v>
      </c>
      <c r="C536" s="6" t="s">
        <v>871</v>
      </c>
      <c r="D536" s="6" t="s">
        <v>872</v>
      </c>
      <c r="E536" s="6" t="s">
        <v>67</v>
      </c>
      <c r="F536" s="6" t="s">
        <v>100</v>
      </c>
      <c r="G536" s="6" t="s">
        <v>44</v>
      </c>
      <c r="H536" s="6" t="s">
        <v>45</v>
      </c>
      <c r="I536" s="6">
        <v>3</v>
      </c>
      <c r="J536" s="8">
        <v>552800</v>
      </c>
      <c r="K536" s="9">
        <v>0.05</v>
      </c>
      <c r="L536" s="10">
        <v>1575480</v>
      </c>
      <c r="M536" s="6">
        <v>1095000</v>
      </c>
      <c r="N536" s="6">
        <v>480480</v>
      </c>
      <c r="O536" s="6" t="s">
        <v>68</v>
      </c>
      <c r="P536" s="6" t="s">
        <v>163</v>
      </c>
      <c r="Q536" s="6" t="s">
        <v>26</v>
      </c>
    </row>
    <row r="537" spans="1:17" x14ac:dyDescent="0.3">
      <c r="A537" s="6" t="s">
        <v>1050</v>
      </c>
      <c r="B537" s="7">
        <v>45976</v>
      </c>
      <c r="C537" s="6" t="s">
        <v>60</v>
      </c>
      <c r="D537" s="6" t="s">
        <v>61</v>
      </c>
      <c r="E537" s="6" t="s">
        <v>67</v>
      </c>
      <c r="F537" s="6" t="s">
        <v>236</v>
      </c>
      <c r="G537" s="6" t="s">
        <v>38</v>
      </c>
      <c r="H537" s="6" t="s">
        <v>127</v>
      </c>
      <c r="I537" s="6">
        <v>7</v>
      </c>
      <c r="J537" s="8">
        <v>241300</v>
      </c>
      <c r="K537" s="9">
        <v>0.15</v>
      </c>
      <c r="L537" s="10">
        <v>0</v>
      </c>
      <c r="M537" s="6">
        <v>0</v>
      </c>
      <c r="N537" s="6">
        <v>0</v>
      </c>
      <c r="O537" s="6" t="s">
        <v>104</v>
      </c>
      <c r="P537" s="6" t="s">
        <v>54</v>
      </c>
      <c r="Q537" s="6" t="s">
        <v>69</v>
      </c>
    </row>
    <row r="538" spans="1:17" x14ac:dyDescent="0.3">
      <c r="A538" s="6" t="s">
        <v>1051</v>
      </c>
      <c r="B538" s="7">
        <v>45976</v>
      </c>
      <c r="C538" s="6" t="s">
        <v>529</v>
      </c>
      <c r="D538" s="6" t="s">
        <v>530</v>
      </c>
      <c r="E538" s="6" t="s">
        <v>36</v>
      </c>
      <c r="F538" s="6" t="s">
        <v>155</v>
      </c>
      <c r="G538" s="6" t="s">
        <v>22</v>
      </c>
      <c r="H538" s="6" t="s">
        <v>58</v>
      </c>
      <c r="I538" s="6">
        <v>7</v>
      </c>
      <c r="J538" s="8">
        <v>99000</v>
      </c>
      <c r="K538" s="9">
        <v>0</v>
      </c>
      <c r="L538" s="10">
        <v>693000</v>
      </c>
      <c r="M538" s="6">
        <v>385000</v>
      </c>
      <c r="N538" s="6">
        <v>308000</v>
      </c>
      <c r="O538" s="6" t="s">
        <v>40</v>
      </c>
      <c r="P538" s="6" t="s">
        <v>54</v>
      </c>
      <c r="Q538" s="6" t="s">
        <v>26</v>
      </c>
    </row>
    <row r="539" spans="1:17" x14ac:dyDescent="0.3">
      <c r="A539" s="6" t="s">
        <v>1052</v>
      </c>
      <c r="B539" s="7">
        <v>45981</v>
      </c>
      <c r="C539" s="6" t="s">
        <v>202</v>
      </c>
      <c r="D539" s="6" t="s">
        <v>203</v>
      </c>
      <c r="E539" s="6" t="s">
        <v>87</v>
      </c>
      <c r="F539" s="6" t="s">
        <v>88</v>
      </c>
      <c r="G539" s="6" t="s">
        <v>78</v>
      </c>
      <c r="H539" s="6" t="s">
        <v>115</v>
      </c>
      <c r="I539" s="6">
        <v>4</v>
      </c>
      <c r="J539" s="8">
        <v>92500</v>
      </c>
      <c r="K539" s="9">
        <v>0.08</v>
      </c>
      <c r="L539" s="10">
        <v>340400</v>
      </c>
      <c r="M539" s="6">
        <v>232000</v>
      </c>
      <c r="N539" s="6">
        <v>108400</v>
      </c>
      <c r="O539" s="6" t="s">
        <v>24</v>
      </c>
      <c r="P539" s="6" t="s">
        <v>32</v>
      </c>
      <c r="Q539" s="6" t="s">
        <v>26</v>
      </c>
    </row>
    <row r="540" spans="1:17" x14ac:dyDescent="0.3">
      <c r="A540" s="6" t="s">
        <v>1053</v>
      </c>
      <c r="B540" s="7">
        <v>45983</v>
      </c>
      <c r="C540" s="6" t="s">
        <v>616</v>
      </c>
      <c r="D540" s="6" t="s">
        <v>617</v>
      </c>
      <c r="E540" s="6" t="s">
        <v>20</v>
      </c>
      <c r="F540" s="6" t="s">
        <v>123</v>
      </c>
      <c r="G540" s="6" t="s">
        <v>38</v>
      </c>
      <c r="H540" s="6" t="s">
        <v>127</v>
      </c>
      <c r="I540" s="6">
        <v>2</v>
      </c>
      <c r="J540" s="8">
        <v>233900</v>
      </c>
      <c r="K540" s="9">
        <v>0.05</v>
      </c>
      <c r="L540" s="10">
        <v>-444410</v>
      </c>
      <c r="M540" s="6">
        <v>-330000</v>
      </c>
      <c r="N540" s="6">
        <v>-114410</v>
      </c>
      <c r="O540" s="6" t="s">
        <v>31</v>
      </c>
      <c r="P540" s="6" t="s">
        <v>54</v>
      </c>
      <c r="Q540" s="6" t="s">
        <v>105</v>
      </c>
    </row>
    <row r="541" spans="1:17" x14ac:dyDescent="0.3">
      <c r="A541" s="6" t="s">
        <v>1054</v>
      </c>
      <c r="B541" s="7">
        <v>45983</v>
      </c>
      <c r="C541" s="6" t="s">
        <v>193</v>
      </c>
      <c r="D541" s="6" t="s">
        <v>194</v>
      </c>
      <c r="E541" s="6" t="s">
        <v>20</v>
      </c>
      <c r="F541" s="6" t="s">
        <v>21</v>
      </c>
      <c r="G541" s="6" t="s">
        <v>22</v>
      </c>
      <c r="H541" s="6" t="s">
        <v>58</v>
      </c>
      <c r="I541" s="6">
        <v>5</v>
      </c>
      <c r="J541" s="8">
        <v>88900</v>
      </c>
      <c r="K541" s="9">
        <v>0</v>
      </c>
      <c r="L541" s="10">
        <v>0</v>
      </c>
      <c r="M541" s="6">
        <v>0</v>
      </c>
      <c r="N541" s="6">
        <v>0</v>
      </c>
      <c r="O541" s="6" t="s">
        <v>104</v>
      </c>
      <c r="P541" s="6" t="s">
        <v>63</v>
      </c>
      <c r="Q541" s="6" t="s">
        <v>69</v>
      </c>
    </row>
    <row r="542" spans="1:17" x14ac:dyDescent="0.3">
      <c r="A542" s="6" t="s">
        <v>1055</v>
      </c>
      <c r="B542" s="7">
        <v>45983</v>
      </c>
      <c r="C542" s="6" t="s">
        <v>324</v>
      </c>
      <c r="D542" s="6" t="s">
        <v>325</v>
      </c>
      <c r="E542" s="6" t="s">
        <v>30</v>
      </c>
      <c r="F542" s="6" t="s">
        <v>159</v>
      </c>
      <c r="G542" s="6" t="s">
        <v>38</v>
      </c>
      <c r="H542" s="6" t="s">
        <v>214</v>
      </c>
      <c r="I542" s="6">
        <v>2</v>
      </c>
      <c r="J542" s="8">
        <v>47900</v>
      </c>
      <c r="K542" s="9">
        <v>0.05</v>
      </c>
      <c r="L542" s="10">
        <v>91010</v>
      </c>
      <c r="M542" s="6">
        <v>52000</v>
      </c>
      <c r="N542" s="6">
        <v>39010</v>
      </c>
      <c r="O542" s="6" t="s">
        <v>40</v>
      </c>
      <c r="P542" s="6" t="s">
        <v>32</v>
      </c>
      <c r="Q542" s="6" t="s">
        <v>26</v>
      </c>
    </row>
    <row r="543" spans="1:17" x14ac:dyDescent="0.3">
      <c r="A543" s="6" t="s">
        <v>1056</v>
      </c>
      <c r="B543" s="7">
        <v>45983</v>
      </c>
      <c r="C543" s="6" t="s">
        <v>903</v>
      </c>
      <c r="D543" s="6" t="s">
        <v>904</v>
      </c>
      <c r="E543" s="6" t="s">
        <v>20</v>
      </c>
      <c r="F543" s="6" t="s">
        <v>62</v>
      </c>
      <c r="G543" s="6" t="s">
        <v>22</v>
      </c>
      <c r="H543" s="6" t="s">
        <v>83</v>
      </c>
      <c r="I543" s="6">
        <v>5</v>
      </c>
      <c r="J543" s="8">
        <v>616100</v>
      </c>
      <c r="K543" s="9">
        <v>0</v>
      </c>
      <c r="L543" s="10">
        <v>3080500</v>
      </c>
      <c r="M543" s="6">
        <v>2350000</v>
      </c>
      <c r="N543" s="6">
        <v>730500</v>
      </c>
      <c r="O543" s="6" t="s">
        <v>31</v>
      </c>
      <c r="P543" s="6" t="s">
        <v>163</v>
      </c>
      <c r="Q543" s="6" t="s">
        <v>26</v>
      </c>
    </row>
    <row r="544" spans="1:17" x14ac:dyDescent="0.3">
      <c r="A544" s="6" t="s">
        <v>1057</v>
      </c>
      <c r="B544" s="7">
        <v>45984</v>
      </c>
      <c r="C544" s="6" t="s">
        <v>228</v>
      </c>
      <c r="D544" s="6" t="s">
        <v>229</v>
      </c>
      <c r="E544" s="6" t="s">
        <v>87</v>
      </c>
      <c r="F544" s="6" t="s">
        <v>131</v>
      </c>
      <c r="G544" s="6" t="s">
        <v>78</v>
      </c>
      <c r="H544" s="6" t="s">
        <v>79</v>
      </c>
      <c r="I544" s="6">
        <v>3</v>
      </c>
      <c r="J544" s="8">
        <v>32200</v>
      </c>
      <c r="K544" s="9">
        <v>0.15</v>
      </c>
      <c r="L544" s="10">
        <v>82110</v>
      </c>
      <c r="M544" s="6">
        <v>54000</v>
      </c>
      <c r="N544" s="6">
        <v>28110</v>
      </c>
      <c r="O544" s="6" t="s">
        <v>31</v>
      </c>
      <c r="P544" s="6" t="s">
        <v>25</v>
      </c>
      <c r="Q544" s="6" t="s">
        <v>26</v>
      </c>
    </row>
    <row r="545" spans="1:17" x14ac:dyDescent="0.3">
      <c r="A545" s="6" t="s">
        <v>1058</v>
      </c>
      <c r="B545" s="7">
        <v>45985</v>
      </c>
      <c r="C545" s="6" t="s">
        <v>225</v>
      </c>
      <c r="D545" s="6" t="s">
        <v>226</v>
      </c>
      <c r="E545" s="6" t="s">
        <v>87</v>
      </c>
      <c r="F545" s="6" t="s">
        <v>131</v>
      </c>
      <c r="G545" s="6" t="s">
        <v>22</v>
      </c>
      <c r="H545" s="6" t="s">
        <v>58</v>
      </c>
      <c r="I545" s="6">
        <v>6</v>
      </c>
      <c r="J545" s="8">
        <v>89000</v>
      </c>
      <c r="K545" s="9">
        <v>0.05</v>
      </c>
      <c r="L545" s="10">
        <v>507300</v>
      </c>
      <c r="M545" s="6">
        <v>330000</v>
      </c>
      <c r="N545" s="6">
        <v>177300</v>
      </c>
      <c r="O545" s="6" t="s">
        <v>68</v>
      </c>
      <c r="P545" s="6" t="s">
        <v>90</v>
      </c>
      <c r="Q545" s="6" t="s">
        <v>26</v>
      </c>
    </row>
    <row r="546" spans="1:17" x14ac:dyDescent="0.3">
      <c r="A546" s="6" t="s">
        <v>1059</v>
      </c>
      <c r="B546" s="7">
        <v>45986</v>
      </c>
      <c r="C546" s="6" t="s">
        <v>573</v>
      </c>
      <c r="D546" s="6" t="s">
        <v>574</v>
      </c>
      <c r="E546" s="6" t="s">
        <v>20</v>
      </c>
      <c r="F546" s="6" t="s">
        <v>62</v>
      </c>
      <c r="G546" s="6" t="s">
        <v>78</v>
      </c>
      <c r="H546" s="6" t="s">
        <v>79</v>
      </c>
      <c r="I546" s="6">
        <v>3</v>
      </c>
      <c r="J546" s="8">
        <v>33300</v>
      </c>
      <c r="K546" s="9">
        <v>0</v>
      </c>
      <c r="L546" s="10">
        <v>99900</v>
      </c>
      <c r="M546" s="6">
        <v>54000</v>
      </c>
      <c r="N546" s="6">
        <v>45900</v>
      </c>
      <c r="O546" s="6" t="s">
        <v>68</v>
      </c>
      <c r="P546" s="6" t="s">
        <v>63</v>
      </c>
      <c r="Q546" s="6" t="s">
        <v>26</v>
      </c>
    </row>
    <row r="547" spans="1:17" x14ac:dyDescent="0.3">
      <c r="A547" s="6" t="s">
        <v>1060</v>
      </c>
      <c r="B547" s="7">
        <v>45987</v>
      </c>
      <c r="C547" s="6" t="s">
        <v>687</v>
      </c>
      <c r="D547" s="6" t="s">
        <v>688</v>
      </c>
      <c r="E547" s="6" t="s">
        <v>30</v>
      </c>
      <c r="F547" s="6" t="s">
        <v>159</v>
      </c>
      <c r="G547" s="6" t="s">
        <v>38</v>
      </c>
      <c r="H547" s="6" t="s">
        <v>214</v>
      </c>
      <c r="I547" s="6">
        <v>5</v>
      </c>
      <c r="J547" s="8">
        <v>45000</v>
      </c>
      <c r="K547" s="9">
        <v>0</v>
      </c>
      <c r="L547" s="10">
        <v>225000</v>
      </c>
      <c r="M547" s="6">
        <v>130000</v>
      </c>
      <c r="N547" s="6">
        <v>95000</v>
      </c>
      <c r="O547" s="6" t="s">
        <v>104</v>
      </c>
      <c r="P547" s="6" t="s">
        <v>163</v>
      </c>
      <c r="Q547" s="6" t="s">
        <v>26</v>
      </c>
    </row>
    <row r="548" spans="1:17" x14ac:dyDescent="0.3">
      <c r="A548" s="6" t="s">
        <v>1061</v>
      </c>
      <c r="B548" s="7">
        <v>45987</v>
      </c>
      <c r="C548" s="6" t="s">
        <v>492</v>
      </c>
      <c r="D548" s="6" t="s">
        <v>493</v>
      </c>
      <c r="E548" s="6" t="s">
        <v>67</v>
      </c>
      <c r="F548" s="6" t="s">
        <v>67</v>
      </c>
      <c r="G548" s="6" t="s">
        <v>78</v>
      </c>
      <c r="H548" s="6" t="s">
        <v>79</v>
      </c>
      <c r="I548" s="6">
        <v>2</v>
      </c>
      <c r="J548" s="8">
        <v>31100</v>
      </c>
      <c r="K548" s="9">
        <v>0.05</v>
      </c>
      <c r="L548" s="10">
        <v>59090</v>
      </c>
      <c r="M548" s="6">
        <v>36000</v>
      </c>
      <c r="N548" s="6">
        <v>23090</v>
      </c>
      <c r="O548" s="6" t="s">
        <v>104</v>
      </c>
      <c r="P548" s="6" t="s">
        <v>90</v>
      </c>
      <c r="Q548" s="6" t="s">
        <v>26</v>
      </c>
    </row>
    <row r="549" spans="1:17" x14ac:dyDescent="0.3">
      <c r="A549" s="6" t="s">
        <v>1062</v>
      </c>
      <c r="B549" s="7">
        <v>45987</v>
      </c>
      <c r="C549" s="6" t="s">
        <v>71</v>
      </c>
      <c r="D549" s="6" t="s">
        <v>72</v>
      </c>
      <c r="E549" s="6" t="s">
        <v>87</v>
      </c>
      <c r="F549" s="6" t="s">
        <v>88</v>
      </c>
      <c r="G549" s="6" t="s">
        <v>38</v>
      </c>
      <c r="H549" s="6" t="s">
        <v>127</v>
      </c>
      <c r="I549" s="6">
        <v>5</v>
      </c>
      <c r="J549" s="8">
        <v>231500</v>
      </c>
      <c r="K549" s="9">
        <v>0</v>
      </c>
      <c r="L549" s="10">
        <v>1157500</v>
      </c>
      <c r="M549" s="6">
        <v>825000</v>
      </c>
      <c r="N549" s="6">
        <v>332500</v>
      </c>
      <c r="O549" s="6" t="s">
        <v>68</v>
      </c>
      <c r="P549" s="6" t="s">
        <v>25</v>
      </c>
      <c r="Q549" s="6" t="s">
        <v>26</v>
      </c>
    </row>
    <row r="550" spans="1:17" x14ac:dyDescent="0.3">
      <c r="A550" s="6" t="s">
        <v>1063</v>
      </c>
      <c r="B550" s="7">
        <v>45988</v>
      </c>
      <c r="C550" s="6" t="s">
        <v>256</v>
      </c>
      <c r="D550" s="6" t="s">
        <v>257</v>
      </c>
      <c r="E550" s="6" t="s">
        <v>36</v>
      </c>
      <c r="F550" s="6" t="s">
        <v>36</v>
      </c>
      <c r="G550" s="6" t="s">
        <v>38</v>
      </c>
      <c r="H550" s="6" t="s">
        <v>53</v>
      </c>
      <c r="I550" s="6">
        <v>3</v>
      </c>
      <c r="J550" s="8">
        <v>349700</v>
      </c>
      <c r="K550" s="9">
        <v>0.05</v>
      </c>
      <c r="L550" s="10">
        <v>996645</v>
      </c>
      <c r="M550" s="6">
        <v>840000</v>
      </c>
      <c r="N550" s="6">
        <v>156645</v>
      </c>
      <c r="O550" s="6" t="s">
        <v>68</v>
      </c>
      <c r="P550" s="6" t="s">
        <v>54</v>
      </c>
      <c r="Q550" s="6" t="s">
        <v>26</v>
      </c>
    </row>
    <row r="551" spans="1:17" x14ac:dyDescent="0.3">
      <c r="A551" s="6" t="s">
        <v>1064</v>
      </c>
      <c r="B551" s="7">
        <v>45989</v>
      </c>
      <c r="C551" s="6" t="s">
        <v>471</v>
      </c>
      <c r="D551" s="6" t="s">
        <v>472</v>
      </c>
      <c r="E551" s="6" t="s">
        <v>20</v>
      </c>
      <c r="F551" s="6" t="s">
        <v>20</v>
      </c>
      <c r="G551" s="6" t="s">
        <v>78</v>
      </c>
      <c r="H551" s="6" t="s">
        <v>318</v>
      </c>
      <c r="I551" s="6">
        <v>7</v>
      </c>
      <c r="J551" s="8">
        <v>71600</v>
      </c>
      <c r="K551" s="9">
        <v>0</v>
      </c>
      <c r="L551" s="10">
        <v>501200</v>
      </c>
      <c r="M551" s="6">
        <v>301000</v>
      </c>
      <c r="N551" s="6">
        <v>200200</v>
      </c>
      <c r="O551" s="6" t="s">
        <v>24</v>
      </c>
      <c r="P551" s="6" t="s">
        <v>119</v>
      </c>
      <c r="Q551" s="6" t="s">
        <v>26</v>
      </c>
    </row>
    <row r="552" spans="1:17" x14ac:dyDescent="0.3">
      <c r="A552" s="6" t="s">
        <v>1065</v>
      </c>
      <c r="B552" s="7">
        <v>45989</v>
      </c>
      <c r="C552" s="6" t="s">
        <v>803</v>
      </c>
      <c r="D552" s="6" t="s">
        <v>804</v>
      </c>
      <c r="E552" s="6" t="s">
        <v>20</v>
      </c>
      <c r="F552" s="6" t="s">
        <v>62</v>
      </c>
      <c r="G552" s="6" t="s">
        <v>78</v>
      </c>
      <c r="H552" s="6" t="s">
        <v>115</v>
      </c>
      <c r="I552" s="6">
        <v>7</v>
      </c>
      <c r="J552" s="8">
        <v>96700</v>
      </c>
      <c r="K552" s="9">
        <v>0.05</v>
      </c>
      <c r="L552" s="10">
        <v>643055</v>
      </c>
      <c r="M552" s="6">
        <v>406000</v>
      </c>
      <c r="N552" s="6">
        <v>237055</v>
      </c>
      <c r="O552" s="6" t="s">
        <v>68</v>
      </c>
      <c r="P552" s="6" t="s">
        <v>25</v>
      </c>
      <c r="Q552" s="6" t="s">
        <v>26</v>
      </c>
    </row>
    <row r="553" spans="1:17" x14ac:dyDescent="0.3">
      <c r="A553" s="6" t="s">
        <v>1066</v>
      </c>
      <c r="B553" s="7">
        <v>45989</v>
      </c>
      <c r="C553" s="6" t="s">
        <v>209</v>
      </c>
      <c r="D553" s="6" t="s">
        <v>210</v>
      </c>
      <c r="E553" s="6" t="s">
        <v>36</v>
      </c>
      <c r="F553" s="6" t="s">
        <v>36</v>
      </c>
      <c r="G553" s="6" t="s">
        <v>38</v>
      </c>
      <c r="H553" s="6" t="s">
        <v>127</v>
      </c>
      <c r="I553" s="6">
        <v>2</v>
      </c>
      <c r="J553" s="8">
        <v>225600</v>
      </c>
      <c r="K553" s="9">
        <v>0.02</v>
      </c>
      <c r="L553" s="10">
        <v>442176</v>
      </c>
      <c r="M553" s="6">
        <v>330000</v>
      </c>
      <c r="N553" s="6">
        <v>112176</v>
      </c>
      <c r="O553" s="6" t="s">
        <v>104</v>
      </c>
      <c r="P553" s="6" t="s">
        <v>32</v>
      </c>
      <c r="Q553" s="6" t="s">
        <v>26</v>
      </c>
    </row>
    <row r="554" spans="1:17" x14ac:dyDescent="0.3">
      <c r="A554" s="6" t="s">
        <v>1067</v>
      </c>
      <c r="B554" s="7">
        <v>45989</v>
      </c>
      <c r="C554" s="6" t="s">
        <v>277</v>
      </c>
      <c r="D554" s="6" t="s">
        <v>278</v>
      </c>
      <c r="E554" s="6" t="s">
        <v>30</v>
      </c>
      <c r="F554" s="6" t="s">
        <v>222</v>
      </c>
      <c r="G554" s="6" t="s">
        <v>38</v>
      </c>
      <c r="H554" s="6" t="s">
        <v>39</v>
      </c>
      <c r="I554" s="6">
        <v>5</v>
      </c>
      <c r="J554" s="8">
        <v>25900</v>
      </c>
      <c r="K554" s="9">
        <v>0.05</v>
      </c>
      <c r="L554" s="10">
        <v>123025</v>
      </c>
      <c r="M554" s="6">
        <v>75000</v>
      </c>
      <c r="N554" s="6">
        <v>48025</v>
      </c>
      <c r="O554" s="6" t="s">
        <v>31</v>
      </c>
      <c r="P554" s="6" t="s">
        <v>90</v>
      </c>
      <c r="Q554" s="6" t="s">
        <v>26</v>
      </c>
    </row>
    <row r="555" spans="1:17" x14ac:dyDescent="0.3">
      <c r="A555" s="6" t="s">
        <v>1068</v>
      </c>
      <c r="B555" s="7">
        <v>45990</v>
      </c>
      <c r="C555" s="6" t="s">
        <v>971</v>
      </c>
      <c r="D555" s="6" t="s">
        <v>972</v>
      </c>
      <c r="E555" s="6" t="s">
        <v>67</v>
      </c>
      <c r="F555" s="6" t="s">
        <v>100</v>
      </c>
      <c r="G555" s="6" t="s">
        <v>44</v>
      </c>
      <c r="H555" s="6" t="s">
        <v>45</v>
      </c>
      <c r="I555" s="6">
        <v>1</v>
      </c>
      <c r="J555" s="8">
        <v>502600</v>
      </c>
      <c r="K555" s="9">
        <v>0.02</v>
      </c>
      <c r="L555" s="10">
        <v>492548</v>
      </c>
      <c r="M555" s="6">
        <v>365000</v>
      </c>
      <c r="N555" s="6">
        <v>127548</v>
      </c>
      <c r="O555" s="6" t="s">
        <v>40</v>
      </c>
      <c r="P555" s="6" t="s">
        <v>63</v>
      </c>
      <c r="Q555" s="6" t="s">
        <v>26</v>
      </c>
    </row>
    <row r="556" spans="1:17" x14ac:dyDescent="0.3">
      <c r="A556" s="6" t="s">
        <v>1069</v>
      </c>
      <c r="B556" s="7">
        <v>45990</v>
      </c>
      <c r="C556" s="6" t="s">
        <v>627</v>
      </c>
      <c r="D556" s="6" t="s">
        <v>628</v>
      </c>
      <c r="E556" s="6" t="s">
        <v>36</v>
      </c>
      <c r="F556" s="6" t="s">
        <v>36</v>
      </c>
      <c r="G556" s="6" t="s">
        <v>78</v>
      </c>
      <c r="H556" s="6" t="s">
        <v>115</v>
      </c>
      <c r="I556" s="6">
        <v>1</v>
      </c>
      <c r="J556" s="8">
        <v>94500</v>
      </c>
      <c r="K556" s="9">
        <v>0</v>
      </c>
      <c r="L556" s="10">
        <v>94500</v>
      </c>
      <c r="M556" s="6">
        <v>58000</v>
      </c>
      <c r="N556" s="6">
        <v>36500</v>
      </c>
      <c r="O556" s="6" t="s">
        <v>104</v>
      </c>
      <c r="P556" s="6" t="s">
        <v>74</v>
      </c>
      <c r="Q556" s="6" t="s">
        <v>26</v>
      </c>
    </row>
    <row r="557" spans="1:17" x14ac:dyDescent="0.3">
      <c r="A557" s="6" t="s">
        <v>1070</v>
      </c>
      <c r="B557" s="7">
        <v>45990</v>
      </c>
      <c r="C557" s="6" t="s">
        <v>732</v>
      </c>
      <c r="D557" s="6" t="s">
        <v>733</v>
      </c>
      <c r="E557" s="6" t="s">
        <v>20</v>
      </c>
      <c r="F557" s="6" t="s">
        <v>21</v>
      </c>
      <c r="G557" s="6" t="s">
        <v>22</v>
      </c>
      <c r="H557" s="6" t="s">
        <v>23</v>
      </c>
      <c r="I557" s="6">
        <v>2</v>
      </c>
      <c r="J557" s="8">
        <v>394000</v>
      </c>
      <c r="K557" s="9">
        <v>0</v>
      </c>
      <c r="L557" s="10">
        <v>788000</v>
      </c>
      <c r="M557" s="6">
        <v>600000</v>
      </c>
      <c r="N557" s="6">
        <v>188000</v>
      </c>
      <c r="O557" s="6" t="s">
        <v>31</v>
      </c>
      <c r="P557" s="6" t="s">
        <v>90</v>
      </c>
      <c r="Q557" s="6" t="s">
        <v>26</v>
      </c>
    </row>
    <row r="558" spans="1:17" x14ac:dyDescent="0.3">
      <c r="A558" s="6" t="s">
        <v>1071</v>
      </c>
      <c r="B558" s="7">
        <v>45991</v>
      </c>
      <c r="C558" s="6" t="s">
        <v>365</v>
      </c>
      <c r="D558" s="6" t="s">
        <v>366</v>
      </c>
      <c r="E558" s="6" t="s">
        <v>30</v>
      </c>
      <c r="F558" s="6" t="s">
        <v>159</v>
      </c>
      <c r="G558" s="6" t="s">
        <v>78</v>
      </c>
      <c r="H558" s="6" t="s">
        <v>115</v>
      </c>
      <c r="I558" s="6">
        <v>2</v>
      </c>
      <c r="J558" s="8">
        <v>92400</v>
      </c>
      <c r="K558" s="9">
        <v>0.05</v>
      </c>
      <c r="L558" s="10">
        <v>-175560</v>
      </c>
      <c r="M558" s="6">
        <v>-116000</v>
      </c>
      <c r="N558" s="6">
        <v>-59560</v>
      </c>
      <c r="O558" s="6" t="s">
        <v>31</v>
      </c>
      <c r="P558" s="6" t="s">
        <v>90</v>
      </c>
      <c r="Q558" s="6" t="s">
        <v>105</v>
      </c>
    </row>
    <row r="559" spans="1:17" x14ac:dyDescent="0.3">
      <c r="A559" s="6" t="s">
        <v>1072</v>
      </c>
      <c r="B559" s="7">
        <v>45992</v>
      </c>
      <c r="C559" s="6" t="s">
        <v>461</v>
      </c>
      <c r="D559" s="6" t="s">
        <v>462</v>
      </c>
      <c r="E559" s="6" t="s">
        <v>20</v>
      </c>
      <c r="F559" s="6" t="s">
        <v>62</v>
      </c>
      <c r="G559" s="6" t="s">
        <v>22</v>
      </c>
      <c r="H559" s="6" t="s">
        <v>58</v>
      </c>
      <c r="I559" s="6">
        <v>3</v>
      </c>
      <c r="J559" s="8">
        <v>88000</v>
      </c>
      <c r="K559" s="9">
        <v>0.1</v>
      </c>
      <c r="L559" s="10">
        <v>237600</v>
      </c>
      <c r="M559" s="6">
        <v>165000</v>
      </c>
      <c r="N559" s="6">
        <v>72600</v>
      </c>
      <c r="O559" s="6" t="s">
        <v>40</v>
      </c>
      <c r="P559" s="6" t="s">
        <v>25</v>
      </c>
      <c r="Q559" s="6" t="s">
        <v>26</v>
      </c>
    </row>
    <row r="560" spans="1:17" x14ac:dyDescent="0.3">
      <c r="A560" s="6" t="s">
        <v>1073</v>
      </c>
      <c r="B560" s="7">
        <v>45992</v>
      </c>
      <c r="C560" s="6" t="s">
        <v>418</v>
      </c>
      <c r="D560" s="6" t="s">
        <v>419</v>
      </c>
      <c r="E560" s="6" t="s">
        <v>20</v>
      </c>
      <c r="F560" s="6" t="s">
        <v>21</v>
      </c>
      <c r="G560" s="6" t="s">
        <v>44</v>
      </c>
      <c r="H560" s="6" t="s">
        <v>89</v>
      </c>
      <c r="I560" s="6">
        <v>5</v>
      </c>
      <c r="J560" s="8">
        <v>177600</v>
      </c>
      <c r="K560" s="9">
        <v>0.08</v>
      </c>
      <c r="L560" s="10">
        <v>-816960</v>
      </c>
      <c r="M560" s="6">
        <v>-575000</v>
      </c>
      <c r="N560" s="6">
        <v>-241960</v>
      </c>
      <c r="O560" s="6" t="s">
        <v>68</v>
      </c>
      <c r="P560" s="6" t="s">
        <v>74</v>
      </c>
      <c r="Q560" s="6" t="s">
        <v>105</v>
      </c>
    </row>
    <row r="561" spans="1:17" x14ac:dyDescent="0.3">
      <c r="A561" s="6" t="s">
        <v>1074</v>
      </c>
      <c r="B561" s="7">
        <v>45994</v>
      </c>
      <c r="C561" s="6" t="s">
        <v>536</v>
      </c>
      <c r="D561" s="6" t="s">
        <v>537</v>
      </c>
      <c r="E561" s="6" t="s">
        <v>20</v>
      </c>
      <c r="F561" s="6" t="s">
        <v>20</v>
      </c>
      <c r="G561" s="6" t="s">
        <v>38</v>
      </c>
      <c r="H561" s="6" t="s">
        <v>53</v>
      </c>
      <c r="I561" s="6">
        <v>1</v>
      </c>
      <c r="J561" s="8">
        <v>367500</v>
      </c>
      <c r="K561" s="9">
        <v>0.02</v>
      </c>
      <c r="L561" s="10">
        <v>-360150</v>
      </c>
      <c r="M561" s="6">
        <v>-280000</v>
      </c>
      <c r="N561" s="6">
        <v>-80150</v>
      </c>
      <c r="O561" s="6" t="s">
        <v>104</v>
      </c>
      <c r="P561" s="6" t="s">
        <v>74</v>
      </c>
      <c r="Q561" s="6" t="s">
        <v>105</v>
      </c>
    </row>
    <row r="562" spans="1:17" x14ac:dyDescent="0.3">
      <c r="A562" s="6" t="s">
        <v>1075</v>
      </c>
      <c r="B562" s="7">
        <v>45994</v>
      </c>
      <c r="C562" s="6" t="s">
        <v>390</v>
      </c>
      <c r="D562" s="6" t="s">
        <v>391</v>
      </c>
      <c r="E562" s="6" t="s">
        <v>20</v>
      </c>
      <c r="F562" s="6" t="s">
        <v>123</v>
      </c>
      <c r="G562" s="6" t="s">
        <v>38</v>
      </c>
      <c r="H562" s="6" t="s">
        <v>53</v>
      </c>
      <c r="I562" s="6">
        <v>3</v>
      </c>
      <c r="J562" s="8">
        <v>391200</v>
      </c>
      <c r="K562" s="9">
        <v>0.08</v>
      </c>
      <c r="L562" s="10">
        <v>1079712</v>
      </c>
      <c r="M562" s="6">
        <v>840000</v>
      </c>
      <c r="N562" s="6">
        <v>239712</v>
      </c>
      <c r="O562" s="6" t="s">
        <v>68</v>
      </c>
      <c r="P562" s="6" t="s">
        <v>74</v>
      </c>
      <c r="Q562" s="6" t="s">
        <v>26</v>
      </c>
    </row>
    <row r="563" spans="1:17" x14ac:dyDescent="0.3">
      <c r="A563" s="6" t="s">
        <v>1076</v>
      </c>
      <c r="B563" s="7">
        <v>45994</v>
      </c>
      <c r="C563" s="6" t="s">
        <v>1077</v>
      </c>
      <c r="D563" s="6" t="s">
        <v>1078</v>
      </c>
      <c r="E563" s="6" t="s">
        <v>87</v>
      </c>
      <c r="F563" s="6" t="s">
        <v>88</v>
      </c>
      <c r="G563" s="6" t="s">
        <v>38</v>
      </c>
      <c r="H563" s="6" t="s">
        <v>127</v>
      </c>
      <c r="I563" s="6">
        <v>7</v>
      </c>
      <c r="J563" s="8">
        <v>256100</v>
      </c>
      <c r="K563" s="9">
        <v>0.05</v>
      </c>
      <c r="L563" s="10">
        <v>1703065</v>
      </c>
      <c r="M563" s="6">
        <v>1155000</v>
      </c>
      <c r="N563" s="6">
        <v>548065</v>
      </c>
      <c r="O563" s="6" t="s">
        <v>31</v>
      </c>
      <c r="P563" s="6" t="s">
        <v>54</v>
      </c>
      <c r="Q563" s="6" t="s">
        <v>26</v>
      </c>
    </row>
    <row r="564" spans="1:17" x14ac:dyDescent="0.3">
      <c r="A564" s="6" t="s">
        <v>1079</v>
      </c>
      <c r="B564" s="7">
        <v>45995</v>
      </c>
      <c r="C564" s="6" t="s">
        <v>1080</v>
      </c>
      <c r="D564" s="6" t="s">
        <v>1081</v>
      </c>
      <c r="E564" s="6" t="s">
        <v>87</v>
      </c>
      <c r="F564" s="6" t="s">
        <v>131</v>
      </c>
      <c r="G564" s="6" t="s">
        <v>44</v>
      </c>
      <c r="H564" s="6" t="s">
        <v>73</v>
      </c>
      <c r="I564" s="6">
        <v>3</v>
      </c>
      <c r="J564" s="8">
        <v>318000</v>
      </c>
      <c r="K564" s="9">
        <v>0.02</v>
      </c>
      <c r="L564" s="10">
        <v>934920</v>
      </c>
      <c r="M564" s="6">
        <v>630000</v>
      </c>
      <c r="N564" s="6">
        <v>304920</v>
      </c>
      <c r="O564" s="6" t="s">
        <v>104</v>
      </c>
      <c r="P564" s="6" t="s">
        <v>32</v>
      </c>
      <c r="Q564" s="6" t="s">
        <v>26</v>
      </c>
    </row>
    <row r="565" spans="1:17" x14ac:dyDescent="0.3">
      <c r="A565" s="6" t="s">
        <v>1082</v>
      </c>
      <c r="B565" s="7">
        <v>45995</v>
      </c>
      <c r="C565" s="6" t="s">
        <v>296</v>
      </c>
      <c r="D565" s="6" t="s">
        <v>297</v>
      </c>
      <c r="E565" s="6" t="s">
        <v>30</v>
      </c>
      <c r="F565" s="6" t="s">
        <v>30</v>
      </c>
      <c r="G565" s="6" t="s">
        <v>38</v>
      </c>
      <c r="H565" s="6" t="s">
        <v>127</v>
      </c>
      <c r="I565" s="6">
        <v>6</v>
      </c>
      <c r="J565" s="8">
        <v>249100</v>
      </c>
      <c r="K565" s="9">
        <v>0.08</v>
      </c>
      <c r="L565" s="10">
        <v>1375032</v>
      </c>
      <c r="M565" s="6">
        <v>990000</v>
      </c>
      <c r="N565" s="6">
        <v>385032</v>
      </c>
      <c r="O565" s="6" t="s">
        <v>104</v>
      </c>
      <c r="P565" s="6" t="s">
        <v>90</v>
      </c>
      <c r="Q565" s="6" t="s">
        <v>26</v>
      </c>
    </row>
    <row r="566" spans="1:17" x14ac:dyDescent="0.3">
      <c r="A566" s="6" t="s">
        <v>1083</v>
      </c>
      <c r="B566" s="7">
        <v>45995</v>
      </c>
      <c r="C566" s="6" t="s">
        <v>56</v>
      </c>
      <c r="D566" s="6" t="s">
        <v>57</v>
      </c>
      <c r="E566" s="6" t="s">
        <v>67</v>
      </c>
      <c r="F566" s="6" t="s">
        <v>100</v>
      </c>
      <c r="G566" s="6" t="s">
        <v>78</v>
      </c>
      <c r="H566" s="6" t="s">
        <v>188</v>
      </c>
      <c r="I566" s="6">
        <v>5</v>
      </c>
      <c r="J566" s="8">
        <v>87300</v>
      </c>
      <c r="K566" s="9">
        <v>0</v>
      </c>
      <c r="L566" s="10">
        <v>436500</v>
      </c>
      <c r="M566" s="6">
        <v>260000</v>
      </c>
      <c r="N566" s="6">
        <v>176500</v>
      </c>
      <c r="O566" s="6" t="s">
        <v>40</v>
      </c>
      <c r="P566" s="6" t="s">
        <v>63</v>
      </c>
      <c r="Q566" s="6" t="s">
        <v>26</v>
      </c>
    </row>
    <row r="567" spans="1:17" x14ac:dyDescent="0.3">
      <c r="A567" s="6" t="s">
        <v>1084</v>
      </c>
      <c r="B567" s="7">
        <v>45996</v>
      </c>
      <c r="C567" s="6" t="s">
        <v>744</v>
      </c>
      <c r="D567" s="6" t="s">
        <v>745</v>
      </c>
      <c r="E567" s="6" t="s">
        <v>67</v>
      </c>
      <c r="F567" s="6" t="s">
        <v>100</v>
      </c>
      <c r="G567" s="6" t="s">
        <v>22</v>
      </c>
      <c r="H567" s="6" t="s">
        <v>83</v>
      </c>
      <c r="I567" s="6">
        <v>3</v>
      </c>
      <c r="J567" s="8">
        <v>691900</v>
      </c>
      <c r="K567" s="9">
        <v>0</v>
      </c>
      <c r="L567" s="10">
        <v>-2075700</v>
      </c>
      <c r="M567" s="6">
        <v>-1410000</v>
      </c>
      <c r="N567" s="6">
        <v>-665700</v>
      </c>
      <c r="O567" s="6" t="s">
        <v>104</v>
      </c>
      <c r="P567" s="6" t="s">
        <v>54</v>
      </c>
      <c r="Q567" s="6" t="s">
        <v>105</v>
      </c>
    </row>
    <row r="568" spans="1:17" x14ac:dyDescent="0.3">
      <c r="A568" s="6" t="s">
        <v>1085</v>
      </c>
      <c r="B568" s="7">
        <v>45997</v>
      </c>
      <c r="C568" s="6" t="s">
        <v>81</v>
      </c>
      <c r="D568" s="6" t="s">
        <v>82</v>
      </c>
      <c r="E568" s="6" t="s">
        <v>87</v>
      </c>
      <c r="F568" s="6" t="s">
        <v>135</v>
      </c>
      <c r="G568" s="6" t="s">
        <v>22</v>
      </c>
      <c r="H568" s="6" t="s">
        <v>23</v>
      </c>
      <c r="I568" s="6">
        <v>4</v>
      </c>
      <c r="J568" s="8">
        <v>410300</v>
      </c>
      <c r="K568" s="9">
        <v>0.1</v>
      </c>
      <c r="L568" s="10">
        <v>1477080</v>
      </c>
      <c r="M568" s="6">
        <v>1200000</v>
      </c>
      <c r="N568" s="6">
        <v>277080</v>
      </c>
      <c r="O568" s="6" t="s">
        <v>104</v>
      </c>
      <c r="P568" s="6" t="s">
        <v>90</v>
      </c>
      <c r="Q568" s="6" t="s">
        <v>26</v>
      </c>
    </row>
    <row r="569" spans="1:17" x14ac:dyDescent="0.3">
      <c r="A569" s="6" t="s">
        <v>1086</v>
      </c>
      <c r="B569" s="7">
        <v>45998</v>
      </c>
      <c r="C569" s="6" t="s">
        <v>810</v>
      </c>
      <c r="D569" s="6" t="s">
        <v>811</v>
      </c>
      <c r="E569" s="6" t="s">
        <v>36</v>
      </c>
      <c r="F569" s="6" t="s">
        <v>37</v>
      </c>
      <c r="G569" s="6" t="s">
        <v>38</v>
      </c>
      <c r="H569" s="6" t="s">
        <v>214</v>
      </c>
      <c r="I569" s="6">
        <v>6</v>
      </c>
      <c r="J569" s="8">
        <v>43400</v>
      </c>
      <c r="K569" s="9">
        <v>0.08</v>
      </c>
      <c r="L569" s="10">
        <v>239568</v>
      </c>
      <c r="M569" s="6">
        <v>156000</v>
      </c>
      <c r="N569" s="6">
        <v>83568</v>
      </c>
      <c r="O569" s="6" t="s">
        <v>40</v>
      </c>
      <c r="P569" s="6" t="s">
        <v>119</v>
      </c>
      <c r="Q569" s="6" t="s">
        <v>26</v>
      </c>
    </row>
    <row r="570" spans="1:17" x14ac:dyDescent="0.3">
      <c r="A570" s="6" t="s">
        <v>1087</v>
      </c>
      <c r="B570" s="7">
        <v>45999</v>
      </c>
      <c r="C570" s="6" t="s">
        <v>365</v>
      </c>
      <c r="D570" s="6" t="s">
        <v>366</v>
      </c>
      <c r="E570" s="6" t="s">
        <v>20</v>
      </c>
      <c r="F570" s="6" t="s">
        <v>20</v>
      </c>
      <c r="G570" s="6" t="s">
        <v>22</v>
      </c>
      <c r="H570" s="6" t="s">
        <v>23</v>
      </c>
      <c r="I570" s="6">
        <v>1</v>
      </c>
      <c r="J570" s="8">
        <v>407200</v>
      </c>
      <c r="K570" s="9">
        <v>0.02</v>
      </c>
      <c r="L570" s="10">
        <v>399056</v>
      </c>
      <c r="M570" s="6">
        <v>300000</v>
      </c>
      <c r="N570" s="6">
        <v>99056</v>
      </c>
      <c r="O570" s="6" t="s">
        <v>104</v>
      </c>
      <c r="P570" s="6" t="s">
        <v>32</v>
      </c>
      <c r="Q570" s="6" t="s">
        <v>26</v>
      </c>
    </row>
    <row r="571" spans="1:17" x14ac:dyDescent="0.3">
      <c r="A571" s="6" t="s">
        <v>1088</v>
      </c>
      <c r="B571" s="7">
        <v>46000</v>
      </c>
      <c r="C571" s="6" t="s">
        <v>349</v>
      </c>
      <c r="D571" s="6" t="s">
        <v>350</v>
      </c>
      <c r="E571" s="6" t="s">
        <v>30</v>
      </c>
      <c r="F571" s="6" t="s">
        <v>159</v>
      </c>
      <c r="G571" s="6" t="s">
        <v>22</v>
      </c>
      <c r="H571" s="6" t="s">
        <v>23</v>
      </c>
      <c r="I571" s="6">
        <v>4</v>
      </c>
      <c r="J571" s="8">
        <v>432500</v>
      </c>
      <c r="K571" s="9">
        <v>0</v>
      </c>
      <c r="L571" s="10">
        <v>1730000</v>
      </c>
      <c r="M571" s="6">
        <v>1200000</v>
      </c>
      <c r="N571" s="6">
        <v>530000</v>
      </c>
      <c r="O571" s="6" t="s">
        <v>24</v>
      </c>
      <c r="P571" s="6" t="s">
        <v>119</v>
      </c>
      <c r="Q571" s="6" t="s">
        <v>26</v>
      </c>
    </row>
    <row r="572" spans="1:17" x14ac:dyDescent="0.3">
      <c r="A572" s="6" t="s">
        <v>1089</v>
      </c>
      <c r="B572" s="7">
        <v>46000</v>
      </c>
      <c r="C572" s="6" t="s">
        <v>180</v>
      </c>
      <c r="D572" s="6" t="s">
        <v>181</v>
      </c>
      <c r="E572" s="6" t="s">
        <v>36</v>
      </c>
      <c r="F572" s="6" t="s">
        <v>37</v>
      </c>
      <c r="G572" s="6" t="s">
        <v>22</v>
      </c>
      <c r="H572" s="6" t="s">
        <v>49</v>
      </c>
      <c r="I572" s="6">
        <v>3</v>
      </c>
      <c r="J572" s="8">
        <v>1204300</v>
      </c>
      <c r="K572" s="9">
        <v>0</v>
      </c>
      <c r="L572" s="10">
        <v>3612900</v>
      </c>
      <c r="M572" s="6">
        <v>2850000</v>
      </c>
      <c r="N572" s="6">
        <v>762900</v>
      </c>
      <c r="O572" s="6" t="s">
        <v>24</v>
      </c>
      <c r="P572" s="6" t="s">
        <v>32</v>
      </c>
      <c r="Q572" s="6" t="s">
        <v>26</v>
      </c>
    </row>
    <row r="573" spans="1:17" x14ac:dyDescent="0.3">
      <c r="A573" s="6" t="s">
        <v>1090</v>
      </c>
      <c r="B573" s="7">
        <v>46000</v>
      </c>
      <c r="C573" s="6" t="s">
        <v>868</v>
      </c>
      <c r="D573" s="6" t="s">
        <v>869</v>
      </c>
      <c r="E573" s="6" t="s">
        <v>30</v>
      </c>
      <c r="F573" s="6" t="s">
        <v>159</v>
      </c>
      <c r="G573" s="6" t="s">
        <v>78</v>
      </c>
      <c r="H573" s="6" t="s">
        <v>188</v>
      </c>
      <c r="I573" s="6">
        <v>2</v>
      </c>
      <c r="J573" s="8">
        <v>85700</v>
      </c>
      <c r="K573" s="9">
        <v>0.08</v>
      </c>
      <c r="L573" s="10">
        <v>157688</v>
      </c>
      <c r="M573" s="6">
        <v>104000</v>
      </c>
      <c r="N573" s="6">
        <v>53688</v>
      </c>
      <c r="O573" s="6" t="s">
        <v>40</v>
      </c>
      <c r="P573" s="6" t="s">
        <v>32</v>
      </c>
      <c r="Q573" s="6" t="s">
        <v>26</v>
      </c>
    </row>
    <row r="574" spans="1:17" x14ac:dyDescent="0.3">
      <c r="A574" s="6" t="s">
        <v>1091</v>
      </c>
      <c r="B574" s="7">
        <v>46002</v>
      </c>
      <c r="C574" s="6" t="s">
        <v>778</v>
      </c>
      <c r="D574" s="6" t="s">
        <v>779</v>
      </c>
      <c r="E574" s="6" t="s">
        <v>20</v>
      </c>
      <c r="F574" s="6" t="s">
        <v>62</v>
      </c>
      <c r="G574" s="6" t="s">
        <v>38</v>
      </c>
      <c r="H574" s="6" t="s">
        <v>53</v>
      </c>
      <c r="I574" s="6">
        <v>3</v>
      </c>
      <c r="J574" s="8">
        <v>391600</v>
      </c>
      <c r="K574" s="9">
        <v>0.05</v>
      </c>
      <c r="L574" s="10">
        <v>1116060</v>
      </c>
      <c r="M574" s="6">
        <v>840000</v>
      </c>
      <c r="N574" s="6">
        <v>276060</v>
      </c>
      <c r="O574" s="6" t="s">
        <v>24</v>
      </c>
      <c r="P574" s="6" t="s">
        <v>90</v>
      </c>
      <c r="Q574" s="6" t="s">
        <v>26</v>
      </c>
    </row>
    <row r="575" spans="1:17" x14ac:dyDescent="0.3">
      <c r="A575" s="6" t="s">
        <v>1092</v>
      </c>
      <c r="B575" s="7">
        <v>46003</v>
      </c>
      <c r="C575" s="6" t="s">
        <v>557</v>
      </c>
      <c r="D575" s="6" t="s">
        <v>558</v>
      </c>
      <c r="E575" s="6" t="s">
        <v>20</v>
      </c>
      <c r="F575" s="6" t="s">
        <v>62</v>
      </c>
      <c r="G575" s="6" t="s">
        <v>22</v>
      </c>
      <c r="H575" s="6" t="s">
        <v>58</v>
      </c>
      <c r="I575" s="6">
        <v>7</v>
      </c>
      <c r="J575" s="8">
        <v>96700</v>
      </c>
      <c r="K575" s="9">
        <v>0.1</v>
      </c>
      <c r="L575" s="10">
        <v>609210</v>
      </c>
      <c r="M575" s="6">
        <v>385000</v>
      </c>
      <c r="N575" s="6">
        <v>224210</v>
      </c>
      <c r="O575" s="6" t="s">
        <v>40</v>
      </c>
      <c r="P575" s="6" t="s">
        <v>25</v>
      </c>
      <c r="Q575" s="6" t="s">
        <v>26</v>
      </c>
    </row>
    <row r="576" spans="1:17" x14ac:dyDescent="0.3">
      <c r="A576" s="6" t="s">
        <v>1093</v>
      </c>
      <c r="B576" s="7">
        <v>46003</v>
      </c>
      <c r="C576" s="6" t="s">
        <v>449</v>
      </c>
      <c r="D576" s="6" t="s">
        <v>450</v>
      </c>
      <c r="E576" s="6" t="s">
        <v>87</v>
      </c>
      <c r="F576" s="6" t="s">
        <v>131</v>
      </c>
      <c r="G576" s="6" t="s">
        <v>38</v>
      </c>
      <c r="H576" s="6" t="s">
        <v>53</v>
      </c>
      <c r="I576" s="6">
        <v>3</v>
      </c>
      <c r="J576" s="8">
        <v>352000</v>
      </c>
      <c r="K576" s="9">
        <v>0.08</v>
      </c>
      <c r="L576" s="10">
        <v>971520</v>
      </c>
      <c r="M576" s="6">
        <v>840000</v>
      </c>
      <c r="N576" s="6">
        <v>131520</v>
      </c>
      <c r="O576" s="6" t="s">
        <v>104</v>
      </c>
      <c r="P576" s="6" t="s">
        <v>32</v>
      </c>
      <c r="Q576" s="6" t="s">
        <v>26</v>
      </c>
    </row>
    <row r="577" spans="1:17" x14ac:dyDescent="0.3">
      <c r="A577" s="6" t="s">
        <v>1094</v>
      </c>
      <c r="B577" s="7">
        <v>46004</v>
      </c>
      <c r="C577" s="6" t="s">
        <v>1095</v>
      </c>
      <c r="D577" s="6" t="s">
        <v>1096</v>
      </c>
      <c r="E577" s="6" t="s">
        <v>20</v>
      </c>
      <c r="F577" s="6" t="s">
        <v>20</v>
      </c>
      <c r="G577" s="6" t="s">
        <v>44</v>
      </c>
      <c r="H577" s="6" t="s">
        <v>73</v>
      </c>
      <c r="I577" s="6">
        <v>6</v>
      </c>
      <c r="J577" s="8">
        <v>320500</v>
      </c>
      <c r="K577" s="9">
        <v>0</v>
      </c>
      <c r="L577" s="10">
        <v>1923000</v>
      </c>
      <c r="M577" s="6">
        <v>1260000</v>
      </c>
      <c r="N577" s="6">
        <v>663000</v>
      </c>
      <c r="O577" s="6" t="s">
        <v>24</v>
      </c>
      <c r="P577" s="6" t="s">
        <v>54</v>
      </c>
      <c r="Q577" s="6" t="s">
        <v>26</v>
      </c>
    </row>
    <row r="578" spans="1:17" x14ac:dyDescent="0.3">
      <c r="A578" s="6" t="s">
        <v>1097</v>
      </c>
      <c r="B578" s="7">
        <v>46006</v>
      </c>
      <c r="C578" s="6" t="s">
        <v>205</v>
      </c>
      <c r="D578" s="6" t="s">
        <v>206</v>
      </c>
      <c r="E578" s="6" t="s">
        <v>20</v>
      </c>
      <c r="F578" s="6" t="s">
        <v>123</v>
      </c>
      <c r="G578" s="6" t="s">
        <v>22</v>
      </c>
      <c r="H578" s="6" t="s">
        <v>58</v>
      </c>
      <c r="I578" s="6">
        <v>6</v>
      </c>
      <c r="J578" s="8">
        <v>90600</v>
      </c>
      <c r="K578" s="9">
        <v>0.02</v>
      </c>
      <c r="L578" s="10">
        <v>532728</v>
      </c>
      <c r="M578" s="6">
        <v>330000</v>
      </c>
      <c r="N578" s="6">
        <v>202728</v>
      </c>
      <c r="O578" s="6" t="s">
        <v>68</v>
      </c>
      <c r="P578" s="6" t="s">
        <v>74</v>
      </c>
      <c r="Q578" s="6" t="s">
        <v>26</v>
      </c>
    </row>
    <row r="579" spans="1:17" x14ac:dyDescent="0.3">
      <c r="A579" s="6" t="s">
        <v>1098</v>
      </c>
      <c r="B579" s="7">
        <v>46006</v>
      </c>
      <c r="C579" s="6" t="s">
        <v>851</v>
      </c>
      <c r="D579" s="6" t="s">
        <v>852</v>
      </c>
      <c r="E579" s="6" t="s">
        <v>36</v>
      </c>
      <c r="F579" s="6" t="s">
        <v>37</v>
      </c>
      <c r="G579" s="6" t="s">
        <v>38</v>
      </c>
      <c r="H579" s="6" t="s">
        <v>39</v>
      </c>
      <c r="I579" s="6">
        <v>7</v>
      </c>
      <c r="J579" s="8">
        <v>26300</v>
      </c>
      <c r="K579" s="9">
        <v>0.05</v>
      </c>
      <c r="L579" s="10">
        <v>174895</v>
      </c>
      <c r="M579" s="6">
        <v>105000</v>
      </c>
      <c r="N579" s="6">
        <v>69895</v>
      </c>
      <c r="O579" s="6" t="s">
        <v>104</v>
      </c>
      <c r="P579" s="6" t="s">
        <v>25</v>
      </c>
      <c r="Q579" s="6" t="s">
        <v>26</v>
      </c>
    </row>
    <row r="580" spans="1:17" x14ac:dyDescent="0.3">
      <c r="A580" s="6" t="s">
        <v>1099</v>
      </c>
      <c r="B580" s="7">
        <v>46007</v>
      </c>
      <c r="C580" s="6" t="s">
        <v>467</v>
      </c>
      <c r="D580" s="6" t="s">
        <v>468</v>
      </c>
      <c r="E580" s="6" t="s">
        <v>67</v>
      </c>
      <c r="F580" s="6" t="s">
        <v>236</v>
      </c>
      <c r="G580" s="6" t="s">
        <v>22</v>
      </c>
      <c r="H580" s="6" t="s">
        <v>58</v>
      </c>
      <c r="I580" s="6">
        <v>4</v>
      </c>
      <c r="J580" s="8">
        <v>101100</v>
      </c>
      <c r="K580" s="9">
        <v>0.08</v>
      </c>
      <c r="L580" s="10">
        <v>372048</v>
      </c>
      <c r="M580" s="6">
        <v>220000</v>
      </c>
      <c r="N580" s="6">
        <v>152048</v>
      </c>
      <c r="O580" s="6" t="s">
        <v>40</v>
      </c>
      <c r="P580" s="6" t="s">
        <v>74</v>
      </c>
      <c r="Q580" s="6" t="s">
        <v>26</v>
      </c>
    </row>
    <row r="581" spans="1:17" x14ac:dyDescent="0.3">
      <c r="A581" s="6" t="s">
        <v>1100</v>
      </c>
      <c r="B581" s="7">
        <v>46008</v>
      </c>
      <c r="C581" s="6" t="s">
        <v>265</v>
      </c>
      <c r="D581" s="6" t="s">
        <v>266</v>
      </c>
      <c r="E581" s="6" t="s">
        <v>36</v>
      </c>
      <c r="F581" s="6" t="s">
        <v>36</v>
      </c>
      <c r="G581" s="6" t="s">
        <v>44</v>
      </c>
      <c r="H581" s="6" t="s">
        <v>89</v>
      </c>
      <c r="I581" s="6">
        <v>6</v>
      </c>
      <c r="J581" s="8">
        <v>187600</v>
      </c>
      <c r="K581" s="9">
        <v>0.05</v>
      </c>
      <c r="L581" s="10">
        <v>1069320</v>
      </c>
      <c r="M581" s="6">
        <v>690000</v>
      </c>
      <c r="N581" s="6">
        <v>379320</v>
      </c>
      <c r="O581" s="6" t="s">
        <v>24</v>
      </c>
      <c r="P581" s="6" t="s">
        <v>90</v>
      </c>
      <c r="Q581" s="6" t="s">
        <v>26</v>
      </c>
    </row>
    <row r="582" spans="1:17" x14ac:dyDescent="0.3">
      <c r="A582" s="6" t="s">
        <v>1101</v>
      </c>
      <c r="B582" s="7">
        <v>46008</v>
      </c>
      <c r="C582" s="6" t="s">
        <v>907</v>
      </c>
      <c r="D582" s="6" t="s">
        <v>908</v>
      </c>
      <c r="E582" s="6" t="s">
        <v>20</v>
      </c>
      <c r="F582" s="6" t="s">
        <v>21</v>
      </c>
      <c r="G582" s="6" t="s">
        <v>22</v>
      </c>
      <c r="H582" s="6" t="s">
        <v>58</v>
      </c>
      <c r="I582" s="6">
        <v>2</v>
      </c>
      <c r="J582" s="8">
        <v>101500</v>
      </c>
      <c r="K582" s="9">
        <v>0.08</v>
      </c>
      <c r="L582" s="10">
        <v>186760</v>
      </c>
      <c r="M582" s="6">
        <v>110000</v>
      </c>
      <c r="N582" s="6">
        <v>76760</v>
      </c>
      <c r="O582" s="6" t="s">
        <v>40</v>
      </c>
      <c r="P582" s="6" t="s">
        <v>54</v>
      </c>
      <c r="Q582" s="6" t="s">
        <v>26</v>
      </c>
    </row>
    <row r="583" spans="1:17" x14ac:dyDescent="0.3">
      <c r="A583" s="6" t="s">
        <v>1102</v>
      </c>
      <c r="B583" s="7">
        <v>46008</v>
      </c>
      <c r="C583" s="6" t="s">
        <v>165</v>
      </c>
      <c r="D583" s="6" t="s">
        <v>166</v>
      </c>
      <c r="E583" s="6" t="s">
        <v>20</v>
      </c>
      <c r="F583" s="6" t="s">
        <v>62</v>
      </c>
      <c r="G583" s="6" t="s">
        <v>38</v>
      </c>
      <c r="H583" s="6" t="s">
        <v>39</v>
      </c>
      <c r="I583" s="6">
        <v>6</v>
      </c>
      <c r="J583" s="8">
        <v>28000</v>
      </c>
      <c r="K583" s="9">
        <v>0</v>
      </c>
      <c r="L583" s="10">
        <v>168000</v>
      </c>
      <c r="M583" s="6">
        <v>90000</v>
      </c>
      <c r="N583" s="6">
        <v>78000</v>
      </c>
      <c r="O583" s="6" t="s">
        <v>104</v>
      </c>
      <c r="P583" s="6" t="s">
        <v>54</v>
      </c>
      <c r="Q583" s="6" t="s">
        <v>26</v>
      </c>
    </row>
    <row r="584" spans="1:17" x14ac:dyDescent="0.3">
      <c r="A584" s="6" t="s">
        <v>1103</v>
      </c>
      <c r="B584" s="7">
        <v>46009</v>
      </c>
      <c r="C584" s="6" t="s">
        <v>1044</v>
      </c>
      <c r="D584" s="6" t="s">
        <v>1045</v>
      </c>
      <c r="E584" s="6" t="s">
        <v>36</v>
      </c>
      <c r="F584" s="6" t="s">
        <v>37</v>
      </c>
      <c r="G584" s="6" t="s">
        <v>44</v>
      </c>
      <c r="H584" s="6" t="s">
        <v>73</v>
      </c>
      <c r="I584" s="6">
        <v>1</v>
      </c>
      <c r="J584" s="8">
        <v>293200</v>
      </c>
      <c r="K584" s="9">
        <v>0.15</v>
      </c>
      <c r="L584" s="10">
        <v>249220</v>
      </c>
      <c r="M584" s="6">
        <v>210000</v>
      </c>
      <c r="N584" s="6">
        <v>39220</v>
      </c>
      <c r="O584" s="6" t="s">
        <v>104</v>
      </c>
      <c r="P584" s="6" t="s">
        <v>119</v>
      </c>
      <c r="Q584" s="6" t="s">
        <v>26</v>
      </c>
    </row>
    <row r="585" spans="1:17" x14ac:dyDescent="0.3">
      <c r="A585" s="6" t="s">
        <v>1104</v>
      </c>
      <c r="B585" s="7">
        <v>46009</v>
      </c>
      <c r="C585" s="6" t="s">
        <v>406</v>
      </c>
      <c r="D585" s="6" t="s">
        <v>407</v>
      </c>
      <c r="E585" s="6" t="s">
        <v>20</v>
      </c>
      <c r="F585" s="6" t="s">
        <v>123</v>
      </c>
      <c r="G585" s="6" t="s">
        <v>22</v>
      </c>
      <c r="H585" s="6" t="s">
        <v>23</v>
      </c>
      <c r="I585" s="6">
        <v>1</v>
      </c>
      <c r="J585" s="8">
        <v>430500</v>
      </c>
      <c r="K585" s="9">
        <v>0</v>
      </c>
      <c r="L585" s="10">
        <v>430500</v>
      </c>
      <c r="M585" s="6">
        <v>300000</v>
      </c>
      <c r="N585" s="6">
        <v>130500</v>
      </c>
      <c r="O585" s="6" t="s">
        <v>24</v>
      </c>
      <c r="P585" s="6" t="s">
        <v>32</v>
      </c>
      <c r="Q585" s="6" t="s">
        <v>26</v>
      </c>
    </row>
    <row r="586" spans="1:17" x14ac:dyDescent="0.3">
      <c r="A586" s="6" t="s">
        <v>1105</v>
      </c>
      <c r="B586" s="7">
        <v>46009</v>
      </c>
      <c r="C586" s="6" t="s">
        <v>406</v>
      </c>
      <c r="D586" s="6" t="s">
        <v>407</v>
      </c>
      <c r="E586" s="6" t="s">
        <v>20</v>
      </c>
      <c r="F586" s="6" t="s">
        <v>123</v>
      </c>
      <c r="G586" s="6" t="s">
        <v>22</v>
      </c>
      <c r="H586" s="6" t="s">
        <v>83</v>
      </c>
      <c r="I586" s="6">
        <v>1</v>
      </c>
      <c r="J586" s="8">
        <v>685200</v>
      </c>
      <c r="K586" s="9">
        <v>0.15</v>
      </c>
      <c r="L586" s="10">
        <v>582420</v>
      </c>
      <c r="M586" s="6">
        <v>470000</v>
      </c>
      <c r="N586" s="6">
        <v>112420</v>
      </c>
      <c r="O586" s="6" t="s">
        <v>68</v>
      </c>
      <c r="P586" s="6" t="s">
        <v>90</v>
      </c>
      <c r="Q586" s="6" t="s">
        <v>26</v>
      </c>
    </row>
    <row r="587" spans="1:17" x14ac:dyDescent="0.3">
      <c r="A587" s="6" t="s">
        <v>1106</v>
      </c>
      <c r="B587" s="7">
        <v>46010</v>
      </c>
      <c r="C587" s="6" t="s">
        <v>140</v>
      </c>
      <c r="D587" s="6" t="s">
        <v>141</v>
      </c>
      <c r="E587" s="6" t="s">
        <v>87</v>
      </c>
      <c r="F587" s="6" t="s">
        <v>88</v>
      </c>
      <c r="G587" s="6" t="s">
        <v>22</v>
      </c>
      <c r="H587" s="6" t="s">
        <v>83</v>
      </c>
      <c r="I587" s="6">
        <v>6</v>
      </c>
      <c r="J587" s="8">
        <v>640700</v>
      </c>
      <c r="K587" s="9">
        <v>0.05</v>
      </c>
      <c r="L587" s="10">
        <v>3651990</v>
      </c>
      <c r="M587" s="6">
        <v>2820000</v>
      </c>
      <c r="N587" s="6">
        <v>831990</v>
      </c>
      <c r="O587" s="6" t="s">
        <v>68</v>
      </c>
      <c r="P587" s="6" t="s">
        <v>163</v>
      </c>
      <c r="Q587" s="6" t="s">
        <v>26</v>
      </c>
    </row>
    <row r="588" spans="1:17" x14ac:dyDescent="0.3">
      <c r="A588" s="6" t="s">
        <v>1107</v>
      </c>
      <c r="B588" s="7">
        <v>46012</v>
      </c>
      <c r="C588" s="6" t="s">
        <v>1108</v>
      </c>
      <c r="D588" s="6" t="s">
        <v>1109</v>
      </c>
      <c r="E588" s="6" t="s">
        <v>20</v>
      </c>
      <c r="F588" s="6" t="s">
        <v>123</v>
      </c>
      <c r="G588" s="6" t="s">
        <v>38</v>
      </c>
      <c r="H588" s="6" t="s">
        <v>53</v>
      </c>
      <c r="I588" s="6">
        <v>4</v>
      </c>
      <c r="J588" s="8">
        <v>374400</v>
      </c>
      <c r="K588" s="9">
        <v>0.05</v>
      </c>
      <c r="L588" s="10">
        <v>-1422720</v>
      </c>
      <c r="M588" s="6">
        <v>-1120000</v>
      </c>
      <c r="N588" s="6">
        <v>-302720</v>
      </c>
      <c r="O588" s="6" t="s">
        <v>24</v>
      </c>
      <c r="P588" s="6" t="s">
        <v>119</v>
      </c>
      <c r="Q588" s="6" t="s">
        <v>105</v>
      </c>
    </row>
    <row r="589" spans="1:17" x14ac:dyDescent="0.3">
      <c r="A589" s="6" t="s">
        <v>1110</v>
      </c>
      <c r="B589" s="7">
        <v>46014</v>
      </c>
      <c r="C589" s="6" t="s">
        <v>859</v>
      </c>
      <c r="D589" s="6" t="s">
        <v>860</v>
      </c>
      <c r="E589" s="6" t="s">
        <v>20</v>
      </c>
      <c r="F589" s="6" t="s">
        <v>20</v>
      </c>
      <c r="G589" s="6" t="s">
        <v>38</v>
      </c>
      <c r="H589" s="6" t="s">
        <v>39</v>
      </c>
      <c r="I589" s="6">
        <v>4</v>
      </c>
      <c r="J589" s="8">
        <v>27900</v>
      </c>
      <c r="K589" s="9">
        <v>0</v>
      </c>
      <c r="L589" s="10">
        <v>111600</v>
      </c>
      <c r="M589" s="6">
        <v>60000</v>
      </c>
      <c r="N589" s="6">
        <v>51600</v>
      </c>
      <c r="O589" s="6" t="s">
        <v>68</v>
      </c>
      <c r="P589" s="6" t="s">
        <v>74</v>
      </c>
      <c r="Q589" s="6" t="s">
        <v>26</v>
      </c>
    </row>
    <row r="590" spans="1:17" x14ac:dyDescent="0.3">
      <c r="A590" s="6" t="s">
        <v>1111</v>
      </c>
      <c r="B590" s="7">
        <v>46015</v>
      </c>
      <c r="C590" s="6" t="s">
        <v>1112</v>
      </c>
      <c r="D590" s="6" t="s">
        <v>1113</v>
      </c>
      <c r="E590" s="6" t="s">
        <v>20</v>
      </c>
      <c r="F590" s="6" t="s">
        <v>62</v>
      </c>
      <c r="G590" s="6" t="s">
        <v>22</v>
      </c>
      <c r="H590" s="6" t="s">
        <v>58</v>
      </c>
      <c r="I590" s="6">
        <v>5</v>
      </c>
      <c r="J590" s="8">
        <v>101800</v>
      </c>
      <c r="K590" s="9">
        <v>0</v>
      </c>
      <c r="L590" s="10">
        <v>0</v>
      </c>
      <c r="M590" s="6">
        <v>0</v>
      </c>
      <c r="N590" s="6">
        <v>0</v>
      </c>
      <c r="O590" s="6" t="s">
        <v>104</v>
      </c>
      <c r="P590" s="6" t="s">
        <v>32</v>
      </c>
      <c r="Q590" s="6" t="s">
        <v>69</v>
      </c>
    </row>
    <row r="591" spans="1:17" x14ac:dyDescent="0.3">
      <c r="A591" s="6" t="s">
        <v>1114</v>
      </c>
      <c r="B591" s="7">
        <v>46016</v>
      </c>
      <c r="C591" s="6" t="s">
        <v>345</v>
      </c>
      <c r="D591" s="6" t="s">
        <v>346</v>
      </c>
      <c r="E591" s="6" t="s">
        <v>20</v>
      </c>
      <c r="F591" s="6" t="s">
        <v>123</v>
      </c>
      <c r="G591" s="6" t="s">
        <v>22</v>
      </c>
      <c r="H591" s="6" t="s">
        <v>83</v>
      </c>
      <c r="I591" s="6">
        <v>1</v>
      </c>
      <c r="J591" s="8">
        <v>657200</v>
      </c>
      <c r="K591" s="9">
        <v>0.08</v>
      </c>
      <c r="L591" s="10">
        <v>604624</v>
      </c>
      <c r="M591" s="6">
        <v>470000</v>
      </c>
      <c r="N591" s="6">
        <v>134624</v>
      </c>
      <c r="O591" s="6" t="s">
        <v>104</v>
      </c>
      <c r="P591" s="6" t="s">
        <v>163</v>
      </c>
      <c r="Q591" s="6" t="s">
        <v>26</v>
      </c>
    </row>
    <row r="592" spans="1:17" x14ac:dyDescent="0.3">
      <c r="A592" s="6" t="s">
        <v>1115</v>
      </c>
      <c r="B592" s="7">
        <v>46016</v>
      </c>
      <c r="C592" s="6" t="s">
        <v>356</v>
      </c>
      <c r="D592" s="6" t="s">
        <v>357</v>
      </c>
      <c r="E592" s="6" t="s">
        <v>36</v>
      </c>
      <c r="F592" s="6" t="s">
        <v>37</v>
      </c>
      <c r="G592" s="6" t="s">
        <v>78</v>
      </c>
      <c r="H592" s="6" t="s">
        <v>318</v>
      </c>
      <c r="I592" s="6">
        <v>6</v>
      </c>
      <c r="J592" s="8">
        <v>74900</v>
      </c>
      <c r="K592" s="9">
        <v>0.05</v>
      </c>
      <c r="L592" s="10">
        <v>426930</v>
      </c>
      <c r="M592" s="6">
        <v>258000</v>
      </c>
      <c r="N592" s="6">
        <v>168930</v>
      </c>
      <c r="O592" s="6" t="s">
        <v>24</v>
      </c>
      <c r="P592" s="6" t="s">
        <v>74</v>
      </c>
      <c r="Q592" s="6" t="s">
        <v>26</v>
      </c>
    </row>
    <row r="593" spans="1:17" x14ac:dyDescent="0.3">
      <c r="A593" s="6" t="s">
        <v>1116</v>
      </c>
      <c r="B593" s="7">
        <v>46017</v>
      </c>
      <c r="C593" s="6" t="s">
        <v>250</v>
      </c>
      <c r="D593" s="6" t="s">
        <v>251</v>
      </c>
      <c r="E593" s="6" t="s">
        <v>36</v>
      </c>
      <c r="F593" s="6" t="s">
        <v>37</v>
      </c>
      <c r="G593" s="6" t="s">
        <v>38</v>
      </c>
      <c r="H593" s="6" t="s">
        <v>214</v>
      </c>
      <c r="I593" s="6">
        <v>4</v>
      </c>
      <c r="J593" s="8">
        <v>43200</v>
      </c>
      <c r="K593" s="9">
        <v>0.05</v>
      </c>
      <c r="L593" s="10">
        <v>164160</v>
      </c>
      <c r="M593" s="6">
        <v>104000</v>
      </c>
      <c r="N593" s="6">
        <v>60160</v>
      </c>
      <c r="O593" s="6" t="s">
        <v>104</v>
      </c>
      <c r="P593" s="6" t="s">
        <v>54</v>
      </c>
      <c r="Q593" s="6" t="s">
        <v>26</v>
      </c>
    </row>
    <row r="594" spans="1:17" x14ac:dyDescent="0.3">
      <c r="A594" s="6" t="s">
        <v>1117</v>
      </c>
      <c r="B594" s="7">
        <v>46017</v>
      </c>
      <c r="C594" s="6" t="s">
        <v>1080</v>
      </c>
      <c r="D594" s="6" t="s">
        <v>1081</v>
      </c>
      <c r="E594" s="6" t="s">
        <v>87</v>
      </c>
      <c r="F594" s="6" t="s">
        <v>135</v>
      </c>
      <c r="G594" s="6" t="s">
        <v>44</v>
      </c>
      <c r="H594" s="6" t="s">
        <v>45</v>
      </c>
      <c r="I594" s="6">
        <v>1</v>
      </c>
      <c r="J594" s="8">
        <v>507100</v>
      </c>
      <c r="K594" s="9">
        <v>0.1</v>
      </c>
      <c r="L594" s="10">
        <v>456390</v>
      </c>
      <c r="M594" s="6">
        <v>365000</v>
      </c>
      <c r="N594" s="6">
        <v>91390</v>
      </c>
      <c r="O594" s="6" t="s">
        <v>24</v>
      </c>
      <c r="P594" s="6" t="s">
        <v>74</v>
      </c>
      <c r="Q594" s="6" t="s">
        <v>26</v>
      </c>
    </row>
    <row r="595" spans="1:17" x14ac:dyDescent="0.3">
      <c r="A595" s="6" t="s">
        <v>1118</v>
      </c>
      <c r="B595" s="7">
        <v>46018</v>
      </c>
      <c r="C595" s="6" t="s">
        <v>228</v>
      </c>
      <c r="D595" s="6" t="s">
        <v>229</v>
      </c>
      <c r="E595" s="6" t="s">
        <v>20</v>
      </c>
      <c r="F595" s="6" t="s">
        <v>62</v>
      </c>
      <c r="G595" s="6" t="s">
        <v>22</v>
      </c>
      <c r="H595" s="6" t="s">
        <v>58</v>
      </c>
      <c r="I595" s="6">
        <v>6</v>
      </c>
      <c r="J595" s="8">
        <v>92200</v>
      </c>
      <c r="K595" s="9">
        <v>0.1</v>
      </c>
      <c r="L595" s="10">
        <v>0</v>
      </c>
      <c r="M595" s="6">
        <v>0</v>
      </c>
      <c r="N595" s="6">
        <v>0</v>
      </c>
      <c r="O595" s="6" t="s">
        <v>31</v>
      </c>
      <c r="P595" s="6" t="s">
        <v>119</v>
      </c>
      <c r="Q595" s="6" t="s">
        <v>69</v>
      </c>
    </row>
    <row r="596" spans="1:17" x14ac:dyDescent="0.3">
      <c r="A596" s="6" t="s">
        <v>1119</v>
      </c>
      <c r="B596" s="7">
        <v>46018</v>
      </c>
      <c r="C596" s="6" t="s">
        <v>732</v>
      </c>
      <c r="D596" s="6" t="s">
        <v>733</v>
      </c>
      <c r="E596" s="6" t="s">
        <v>20</v>
      </c>
      <c r="F596" s="6" t="s">
        <v>62</v>
      </c>
      <c r="G596" s="6" t="s">
        <v>38</v>
      </c>
      <c r="H596" s="6" t="s">
        <v>127</v>
      </c>
      <c r="I596" s="6">
        <v>6</v>
      </c>
      <c r="J596" s="8">
        <v>255800</v>
      </c>
      <c r="K596" s="9">
        <v>0.02</v>
      </c>
      <c r="L596" s="10">
        <v>1504104</v>
      </c>
      <c r="M596" s="6">
        <v>990000</v>
      </c>
      <c r="N596" s="6">
        <v>514104</v>
      </c>
      <c r="O596" s="6" t="s">
        <v>24</v>
      </c>
      <c r="P596" s="6" t="s">
        <v>90</v>
      </c>
      <c r="Q596" s="6" t="s">
        <v>26</v>
      </c>
    </row>
    <row r="597" spans="1:17" x14ac:dyDescent="0.3">
      <c r="A597" s="6" t="s">
        <v>1120</v>
      </c>
      <c r="B597" s="7">
        <v>46018</v>
      </c>
      <c r="C597" s="6" t="s">
        <v>174</v>
      </c>
      <c r="D597" s="6" t="s">
        <v>175</v>
      </c>
      <c r="E597" s="6" t="s">
        <v>87</v>
      </c>
      <c r="F597" s="6" t="s">
        <v>88</v>
      </c>
      <c r="G597" s="6" t="s">
        <v>38</v>
      </c>
      <c r="H597" s="6" t="s">
        <v>214</v>
      </c>
      <c r="I597" s="6">
        <v>1</v>
      </c>
      <c r="J597" s="8">
        <v>42100</v>
      </c>
      <c r="K597" s="9">
        <v>0.05</v>
      </c>
      <c r="L597" s="10">
        <v>0</v>
      </c>
      <c r="M597" s="6">
        <v>0</v>
      </c>
      <c r="N597" s="6">
        <v>0</v>
      </c>
      <c r="O597" s="6" t="s">
        <v>40</v>
      </c>
      <c r="P597" s="6" t="s">
        <v>25</v>
      </c>
      <c r="Q597" s="6" t="s">
        <v>69</v>
      </c>
    </row>
    <row r="598" spans="1:17" x14ac:dyDescent="0.3">
      <c r="A598" s="6" t="s">
        <v>1121</v>
      </c>
      <c r="B598" s="7">
        <v>46019</v>
      </c>
      <c r="C598" s="6" t="s">
        <v>177</v>
      </c>
      <c r="D598" s="6" t="s">
        <v>178</v>
      </c>
      <c r="E598" s="6" t="s">
        <v>87</v>
      </c>
      <c r="F598" s="6" t="s">
        <v>131</v>
      </c>
      <c r="G598" s="6" t="s">
        <v>22</v>
      </c>
      <c r="H598" s="6" t="s">
        <v>58</v>
      </c>
      <c r="I598" s="6">
        <v>4</v>
      </c>
      <c r="J598" s="8">
        <v>97900</v>
      </c>
      <c r="K598" s="9">
        <v>0.08</v>
      </c>
      <c r="L598" s="10">
        <v>360272</v>
      </c>
      <c r="M598" s="6">
        <v>220000</v>
      </c>
      <c r="N598" s="6">
        <v>140272</v>
      </c>
      <c r="O598" s="6" t="s">
        <v>24</v>
      </c>
      <c r="P598" s="6" t="s">
        <v>32</v>
      </c>
      <c r="Q598" s="6" t="s">
        <v>26</v>
      </c>
    </row>
    <row r="599" spans="1:17" x14ac:dyDescent="0.3">
      <c r="A599" s="6" t="s">
        <v>1122</v>
      </c>
      <c r="B599" s="7">
        <v>46020</v>
      </c>
      <c r="C599" s="6" t="s">
        <v>300</v>
      </c>
      <c r="D599" s="6" t="s">
        <v>301</v>
      </c>
      <c r="E599" s="6" t="s">
        <v>20</v>
      </c>
      <c r="F599" s="6" t="s">
        <v>20</v>
      </c>
      <c r="G599" s="6" t="s">
        <v>44</v>
      </c>
      <c r="H599" s="6" t="s">
        <v>45</v>
      </c>
      <c r="I599" s="6">
        <v>3</v>
      </c>
      <c r="J599" s="8">
        <v>541000</v>
      </c>
      <c r="K599" s="9">
        <v>0</v>
      </c>
      <c r="L599" s="10">
        <v>-1623000</v>
      </c>
      <c r="M599" s="6">
        <v>-1095000</v>
      </c>
      <c r="N599" s="6">
        <v>-528000</v>
      </c>
      <c r="O599" s="6" t="s">
        <v>68</v>
      </c>
      <c r="P599" s="6" t="s">
        <v>163</v>
      </c>
      <c r="Q599" s="6" t="s">
        <v>105</v>
      </c>
    </row>
    <row r="600" spans="1:17" x14ac:dyDescent="0.3">
      <c r="A600" s="6" t="s">
        <v>1123</v>
      </c>
      <c r="B600" s="7">
        <v>46021</v>
      </c>
      <c r="C600" s="6" t="s">
        <v>56</v>
      </c>
      <c r="D600" s="6" t="s">
        <v>57</v>
      </c>
      <c r="E600" s="6" t="s">
        <v>20</v>
      </c>
      <c r="F600" s="6" t="s">
        <v>123</v>
      </c>
      <c r="G600" s="6" t="s">
        <v>78</v>
      </c>
      <c r="H600" s="6" t="s">
        <v>79</v>
      </c>
      <c r="I600" s="6">
        <v>4</v>
      </c>
      <c r="J600" s="8">
        <v>29500</v>
      </c>
      <c r="K600" s="9">
        <v>0.02</v>
      </c>
      <c r="L600" s="10">
        <v>115640</v>
      </c>
      <c r="M600" s="6">
        <v>72000</v>
      </c>
      <c r="N600" s="6">
        <v>43640</v>
      </c>
      <c r="O600" s="6" t="s">
        <v>24</v>
      </c>
      <c r="P600" s="6" t="s">
        <v>163</v>
      </c>
      <c r="Q600" s="6" t="s">
        <v>26</v>
      </c>
    </row>
    <row r="601" spans="1:17" x14ac:dyDescent="0.3">
      <c r="A601" s="6" t="s">
        <v>1124</v>
      </c>
      <c r="B601" s="7">
        <v>46021</v>
      </c>
      <c r="C601" s="6" t="s">
        <v>1125</v>
      </c>
      <c r="D601" s="6" t="s">
        <v>1126</v>
      </c>
      <c r="E601" s="6" t="s">
        <v>20</v>
      </c>
      <c r="F601" s="6" t="s">
        <v>123</v>
      </c>
      <c r="G601" s="6" t="s">
        <v>38</v>
      </c>
      <c r="H601" s="6" t="s">
        <v>214</v>
      </c>
      <c r="I601" s="6">
        <v>2</v>
      </c>
      <c r="J601" s="8">
        <v>42200</v>
      </c>
      <c r="K601" s="9">
        <v>0.1</v>
      </c>
      <c r="L601" s="10">
        <v>75960</v>
      </c>
      <c r="M601" s="6">
        <v>52000</v>
      </c>
      <c r="N601" s="6">
        <v>23960</v>
      </c>
      <c r="O601" s="6" t="s">
        <v>24</v>
      </c>
      <c r="P601" s="6" t="s">
        <v>25</v>
      </c>
      <c r="Q601" s="6" t="s">
        <v>26</v>
      </c>
    </row>
    <row r="602" spans="1:17" x14ac:dyDescent="0.3">
      <c r="A602" s="6" t="s">
        <v>1127</v>
      </c>
      <c r="B602" s="7">
        <v>46021</v>
      </c>
      <c r="C602" s="6" t="s">
        <v>719</v>
      </c>
      <c r="D602" s="6" t="s">
        <v>720</v>
      </c>
      <c r="E602" s="6" t="s">
        <v>36</v>
      </c>
      <c r="F602" s="6" t="s">
        <v>155</v>
      </c>
      <c r="G602" s="6" t="s">
        <v>38</v>
      </c>
      <c r="H602" s="6" t="s">
        <v>214</v>
      </c>
      <c r="I602" s="6">
        <v>1</v>
      </c>
      <c r="J602" s="8">
        <v>47500</v>
      </c>
      <c r="K602" s="9">
        <v>0.1</v>
      </c>
      <c r="L602" s="10">
        <v>0</v>
      </c>
      <c r="M602" s="6">
        <v>0</v>
      </c>
      <c r="N602" s="6">
        <v>0</v>
      </c>
      <c r="O602" s="6" t="s">
        <v>24</v>
      </c>
      <c r="P602" s="6" t="s">
        <v>163</v>
      </c>
      <c r="Q602" s="6" t="s">
        <v>69</v>
      </c>
    </row>
    <row r="603" spans="1:17" x14ac:dyDescent="0.3">
      <c r="A603" s="6" t="s">
        <v>1128</v>
      </c>
      <c r="B603" s="7">
        <v>46021</v>
      </c>
      <c r="C603" s="6" t="s">
        <v>199</v>
      </c>
      <c r="D603" s="6" t="s">
        <v>200</v>
      </c>
      <c r="E603" s="6" t="s">
        <v>20</v>
      </c>
      <c r="F603" s="6" t="s">
        <v>21</v>
      </c>
      <c r="G603" s="6" t="s">
        <v>22</v>
      </c>
      <c r="H603" s="6" t="s">
        <v>83</v>
      </c>
      <c r="I603" s="6">
        <v>1</v>
      </c>
      <c r="J603" s="8">
        <v>610600</v>
      </c>
      <c r="K603" s="9">
        <v>0.02</v>
      </c>
      <c r="L603" s="10">
        <v>598388</v>
      </c>
      <c r="M603" s="6">
        <v>470000</v>
      </c>
      <c r="N603" s="6">
        <v>128388</v>
      </c>
      <c r="O603" s="6" t="s">
        <v>24</v>
      </c>
      <c r="P603" s="6" t="s">
        <v>54</v>
      </c>
      <c r="Q603" s="6" t="s">
        <v>26</v>
      </c>
    </row>
    <row r="604" spans="1:17" x14ac:dyDescent="0.3">
      <c r="A604" s="6" t="s">
        <v>1129</v>
      </c>
      <c r="B604" s="7">
        <v>46021</v>
      </c>
      <c r="C604" s="6" t="s">
        <v>137</v>
      </c>
      <c r="D604" s="6" t="s">
        <v>138</v>
      </c>
      <c r="E604" s="6" t="s">
        <v>20</v>
      </c>
      <c r="F604" s="6" t="s">
        <v>21</v>
      </c>
      <c r="G604" s="6" t="s">
        <v>44</v>
      </c>
      <c r="H604" s="6" t="s">
        <v>89</v>
      </c>
      <c r="I604" s="6">
        <v>6</v>
      </c>
      <c r="J604" s="8">
        <v>187700</v>
      </c>
      <c r="K604" s="9">
        <v>0</v>
      </c>
      <c r="L604" s="10">
        <v>1126200</v>
      </c>
      <c r="M604" s="6">
        <v>690000</v>
      </c>
      <c r="N604" s="6">
        <v>436200</v>
      </c>
      <c r="O604" s="6" t="s">
        <v>31</v>
      </c>
      <c r="P604" s="6" t="s">
        <v>32</v>
      </c>
      <c r="Q604" s="6" t="s">
        <v>26</v>
      </c>
    </row>
    <row r="605" spans="1:17" x14ac:dyDescent="0.3">
      <c r="A605" s="6" t="s">
        <v>1130</v>
      </c>
      <c r="B605" s="7">
        <v>46022</v>
      </c>
      <c r="C605" s="6" t="s">
        <v>196</v>
      </c>
      <c r="D605" s="6" t="s">
        <v>197</v>
      </c>
      <c r="E605" s="6" t="s">
        <v>20</v>
      </c>
      <c r="F605" s="6" t="s">
        <v>62</v>
      </c>
      <c r="G605" s="6" t="s">
        <v>22</v>
      </c>
      <c r="H605" s="6" t="s">
        <v>23</v>
      </c>
      <c r="I605" s="6">
        <v>1</v>
      </c>
      <c r="J605" s="8">
        <v>426200</v>
      </c>
      <c r="K605" s="9">
        <v>0.02</v>
      </c>
      <c r="L605" s="10">
        <v>417676</v>
      </c>
      <c r="M605" s="6">
        <v>300000</v>
      </c>
      <c r="N605" s="6">
        <v>117676</v>
      </c>
      <c r="O605" s="6" t="s">
        <v>104</v>
      </c>
      <c r="P605" s="6" t="s">
        <v>54</v>
      </c>
      <c r="Q605" s="6" t="s">
        <v>26</v>
      </c>
    </row>
    <row r="606" spans="1:17" x14ac:dyDescent="0.3">
      <c r="A606" s="6" t="s">
        <v>1131</v>
      </c>
      <c r="B606" s="7">
        <v>46024</v>
      </c>
      <c r="C606" s="6" t="s">
        <v>886</v>
      </c>
      <c r="D606" s="6" t="s">
        <v>887</v>
      </c>
      <c r="E606" s="6" t="s">
        <v>20</v>
      </c>
      <c r="F606" s="6" t="s">
        <v>62</v>
      </c>
      <c r="G606" s="6" t="s">
        <v>22</v>
      </c>
      <c r="H606" s="6" t="s">
        <v>58</v>
      </c>
      <c r="I606" s="6">
        <v>3</v>
      </c>
      <c r="J606" s="8">
        <v>93800</v>
      </c>
      <c r="K606" s="9">
        <v>0.02</v>
      </c>
      <c r="L606" s="10">
        <v>275772</v>
      </c>
      <c r="M606" s="6">
        <v>165000</v>
      </c>
      <c r="N606" s="6">
        <v>110772</v>
      </c>
      <c r="O606" s="6" t="s">
        <v>68</v>
      </c>
      <c r="P606" s="6" t="s">
        <v>163</v>
      </c>
      <c r="Q606" s="6" t="s">
        <v>26</v>
      </c>
    </row>
    <row r="607" spans="1:17" x14ac:dyDescent="0.3">
      <c r="A607" s="6" t="s">
        <v>1132</v>
      </c>
      <c r="B607" s="7">
        <v>46024</v>
      </c>
      <c r="C607" s="6" t="s">
        <v>300</v>
      </c>
      <c r="D607" s="6" t="s">
        <v>301</v>
      </c>
      <c r="E607" s="6" t="s">
        <v>30</v>
      </c>
      <c r="F607" s="6" t="s">
        <v>159</v>
      </c>
      <c r="G607" s="6" t="s">
        <v>38</v>
      </c>
      <c r="H607" s="6" t="s">
        <v>127</v>
      </c>
      <c r="I607" s="6">
        <v>6</v>
      </c>
      <c r="J607" s="8">
        <v>235600</v>
      </c>
      <c r="K607" s="9">
        <v>0.15</v>
      </c>
      <c r="L607" s="10">
        <v>1201560</v>
      </c>
      <c r="M607" s="6">
        <v>990000</v>
      </c>
      <c r="N607" s="6">
        <v>211560</v>
      </c>
      <c r="O607" s="6" t="s">
        <v>68</v>
      </c>
      <c r="P607" s="6" t="s">
        <v>25</v>
      </c>
      <c r="Q607" s="6" t="s">
        <v>26</v>
      </c>
    </row>
    <row r="608" spans="1:17" x14ac:dyDescent="0.3">
      <c r="A608" s="6" t="s">
        <v>1133</v>
      </c>
      <c r="B608" s="7">
        <v>46025</v>
      </c>
      <c r="C608" s="6" t="s">
        <v>859</v>
      </c>
      <c r="D608" s="6" t="s">
        <v>860</v>
      </c>
      <c r="E608" s="6" t="s">
        <v>30</v>
      </c>
      <c r="F608" s="6" t="s">
        <v>159</v>
      </c>
      <c r="G608" s="6" t="s">
        <v>44</v>
      </c>
      <c r="H608" s="6" t="s">
        <v>73</v>
      </c>
      <c r="I608" s="6">
        <v>3</v>
      </c>
      <c r="J608" s="8">
        <v>318500</v>
      </c>
      <c r="K608" s="9">
        <v>0.05</v>
      </c>
      <c r="L608" s="10">
        <v>907725</v>
      </c>
      <c r="M608" s="6">
        <v>630000</v>
      </c>
      <c r="N608" s="6">
        <v>277725</v>
      </c>
      <c r="O608" s="6" t="s">
        <v>24</v>
      </c>
      <c r="P608" s="6" t="s">
        <v>74</v>
      </c>
      <c r="Q608" s="6" t="s">
        <v>26</v>
      </c>
    </row>
    <row r="609" spans="1:17" x14ac:dyDescent="0.3">
      <c r="A609" s="6" t="s">
        <v>1134</v>
      </c>
      <c r="B609" s="7">
        <v>46026</v>
      </c>
      <c r="C609" s="6" t="s">
        <v>897</v>
      </c>
      <c r="D609" s="6" t="s">
        <v>898</v>
      </c>
      <c r="E609" s="6" t="s">
        <v>36</v>
      </c>
      <c r="F609" s="6" t="s">
        <v>36</v>
      </c>
      <c r="G609" s="6" t="s">
        <v>78</v>
      </c>
      <c r="H609" s="6" t="s">
        <v>115</v>
      </c>
      <c r="I609" s="6">
        <v>3</v>
      </c>
      <c r="J609" s="8">
        <v>84800</v>
      </c>
      <c r="K609" s="9">
        <v>0.1</v>
      </c>
      <c r="L609" s="10">
        <v>228960</v>
      </c>
      <c r="M609" s="6">
        <v>174000</v>
      </c>
      <c r="N609" s="6">
        <v>54960</v>
      </c>
      <c r="O609" s="6" t="s">
        <v>31</v>
      </c>
      <c r="P609" s="6" t="s">
        <v>90</v>
      </c>
      <c r="Q609" s="6" t="s">
        <v>26</v>
      </c>
    </row>
    <row r="610" spans="1:17" x14ac:dyDescent="0.3">
      <c r="A610" s="6" t="s">
        <v>1135</v>
      </c>
      <c r="B610" s="7">
        <v>46026</v>
      </c>
      <c r="C610" s="6" t="s">
        <v>1136</v>
      </c>
      <c r="D610" s="6" t="s">
        <v>1137</v>
      </c>
      <c r="E610" s="6" t="s">
        <v>36</v>
      </c>
      <c r="F610" s="6" t="s">
        <v>37</v>
      </c>
      <c r="G610" s="6" t="s">
        <v>22</v>
      </c>
      <c r="H610" s="6" t="s">
        <v>83</v>
      </c>
      <c r="I610" s="6">
        <v>4</v>
      </c>
      <c r="J610" s="8">
        <v>665200</v>
      </c>
      <c r="K610" s="9">
        <v>0.05</v>
      </c>
      <c r="L610" s="10">
        <v>2527760</v>
      </c>
      <c r="M610" s="6">
        <v>1880000</v>
      </c>
      <c r="N610" s="6">
        <v>647760</v>
      </c>
      <c r="O610" s="6" t="s">
        <v>31</v>
      </c>
      <c r="P610" s="6" t="s">
        <v>119</v>
      </c>
      <c r="Q610" s="6" t="s">
        <v>26</v>
      </c>
    </row>
    <row r="611" spans="1:17" x14ac:dyDescent="0.3">
      <c r="A611" s="6" t="s">
        <v>1138</v>
      </c>
      <c r="B611" s="7">
        <v>46028</v>
      </c>
      <c r="C611" s="6" t="s">
        <v>607</v>
      </c>
      <c r="D611" s="6" t="s">
        <v>608</v>
      </c>
      <c r="E611" s="6" t="s">
        <v>20</v>
      </c>
      <c r="F611" s="6" t="s">
        <v>123</v>
      </c>
      <c r="G611" s="6" t="s">
        <v>44</v>
      </c>
      <c r="H611" s="6" t="s">
        <v>73</v>
      </c>
      <c r="I611" s="6">
        <v>1</v>
      </c>
      <c r="J611" s="8">
        <v>313700</v>
      </c>
      <c r="K611" s="9">
        <v>0.08</v>
      </c>
      <c r="L611" s="10">
        <v>288604</v>
      </c>
      <c r="M611" s="6">
        <v>210000</v>
      </c>
      <c r="N611" s="6">
        <v>78604</v>
      </c>
      <c r="O611" s="6" t="s">
        <v>31</v>
      </c>
      <c r="P611" s="6" t="s">
        <v>25</v>
      </c>
      <c r="Q611" s="6" t="s">
        <v>26</v>
      </c>
    </row>
    <row r="612" spans="1:17" x14ac:dyDescent="0.3">
      <c r="A612" s="6" t="s">
        <v>1139</v>
      </c>
      <c r="B612" s="7">
        <v>46029</v>
      </c>
      <c r="C612" s="6" t="s">
        <v>752</v>
      </c>
      <c r="D612" s="6" t="s">
        <v>753</v>
      </c>
      <c r="E612" s="6" t="s">
        <v>20</v>
      </c>
      <c r="F612" s="6" t="s">
        <v>123</v>
      </c>
      <c r="G612" s="6" t="s">
        <v>38</v>
      </c>
      <c r="H612" s="6" t="s">
        <v>39</v>
      </c>
      <c r="I612" s="6">
        <v>5</v>
      </c>
      <c r="J612" s="8">
        <v>29000</v>
      </c>
      <c r="K612" s="9">
        <v>0.08</v>
      </c>
      <c r="L612" s="10">
        <v>133400</v>
      </c>
      <c r="M612" s="6">
        <v>75000</v>
      </c>
      <c r="N612" s="6">
        <v>58400</v>
      </c>
      <c r="O612" s="6" t="s">
        <v>40</v>
      </c>
      <c r="P612" s="6" t="s">
        <v>90</v>
      </c>
      <c r="Q612" s="6" t="s">
        <v>26</v>
      </c>
    </row>
    <row r="613" spans="1:17" x14ac:dyDescent="0.3">
      <c r="A613" s="6" t="s">
        <v>1140</v>
      </c>
      <c r="B613" s="7">
        <v>46030</v>
      </c>
      <c r="C613" s="6" t="s">
        <v>1044</v>
      </c>
      <c r="D613" s="6" t="s">
        <v>1045</v>
      </c>
      <c r="E613" s="6" t="s">
        <v>36</v>
      </c>
      <c r="F613" s="6" t="s">
        <v>36</v>
      </c>
      <c r="G613" s="6" t="s">
        <v>38</v>
      </c>
      <c r="H613" s="6" t="s">
        <v>127</v>
      </c>
      <c r="I613" s="6">
        <v>5</v>
      </c>
      <c r="J613" s="8">
        <v>242300</v>
      </c>
      <c r="K613" s="9">
        <v>0.05</v>
      </c>
      <c r="L613" s="10">
        <v>1150925</v>
      </c>
      <c r="M613" s="6">
        <v>825000</v>
      </c>
      <c r="N613" s="6">
        <v>325925</v>
      </c>
      <c r="O613" s="6" t="s">
        <v>31</v>
      </c>
      <c r="P613" s="6" t="s">
        <v>119</v>
      </c>
      <c r="Q613" s="6" t="s">
        <v>26</v>
      </c>
    </row>
    <row r="614" spans="1:17" x14ac:dyDescent="0.3">
      <c r="A614" s="6" t="s">
        <v>1141</v>
      </c>
      <c r="B614" s="7">
        <v>46031</v>
      </c>
      <c r="C614" s="6" t="s">
        <v>536</v>
      </c>
      <c r="D614" s="6" t="s">
        <v>537</v>
      </c>
      <c r="E614" s="6" t="s">
        <v>87</v>
      </c>
      <c r="F614" s="6" t="s">
        <v>131</v>
      </c>
      <c r="G614" s="6" t="s">
        <v>78</v>
      </c>
      <c r="H614" s="6" t="s">
        <v>115</v>
      </c>
      <c r="I614" s="6">
        <v>1</v>
      </c>
      <c r="J614" s="8">
        <v>87100</v>
      </c>
      <c r="K614" s="9">
        <v>0</v>
      </c>
      <c r="L614" s="10">
        <v>87100</v>
      </c>
      <c r="M614" s="6">
        <v>58000</v>
      </c>
      <c r="N614" s="6">
        <v>29100</v>
      </c>
      <c r="O614" s="6" t="s">
        <v>104</v>
      </c>
      <c r="P614" s="6" t="s">
        <v>90</v>
      </c>
      <c r="Q614" s="6" t="s">
        <v>26</v>
      </c>
    </row>
    <row r="615" spans="1:17" x14ac:dyDescent="0.3">
      <c r="A615" s="6" t="s">
        <v>1142</v>
      </c>
      <c r="B615" s="7">
        <v>46031</v>
      </c>
      <c r="C615" s="6" t="s">
        <v>359</v>
      </c>
      <c r="D615" s="6" t="s">
        <v>360</v>
      </c>
      <c r="E615" s="6" t="s">
        <v>30</v>
      </c>
      <c r="F615" s="6" t="s">
        <v>30</v>
      </c>
      <c r="G615" s="6" t="s">
        <v>78</v>
      </c>
      <c r="H615" s="6" t="s">
        <v>115</v>
      </c>
      <c r="I615" s="6">
        <v>7</v>
      </c>
      <c r="J615" s="8">
        <v>92800</v>
      </c>
      <c r="K615" s="9">
        <v>0</v>
      </c>
      <c r="L615" s="10">
        <v>649600</v>
      </c>
      <c r="M615" s="6">
        <v>406000</v>
      </c>
      <c r="N615" s="6">
        <v>243600</v>
      </c>
      <c r="O615" s="6" t="s">
        <v>68</v>
      </c>
      <c r="P615" s="6" t="s">
        <v>74</v>
      </c>
      <c r="Q615" s="6" t="s">
        <v>26</v>
      </c>
    </row>
    <row r="616" spans="1:17" x14ac:dyDescent="0.3">
      <c r="A616" s="6" t="s">
        <v>1143</v>
      </c>
      <c r="B616" s="7">
        <v>46032</v>
      </c>
      <c r="C616" s="6" t="s">
        <v>529</v>
      </c>
      <c r="D616" s="6" t="s">
        <v>530</v>
      </c>
      <c r="E616" s="6" t="s">
        <v>36</v>
      </c>
      <c r="F616" s="6" t="s">
        <v>37</v>
      </c>
      <c r="G616" s="6" t="s">
        <v>44</v>
      </c>
      <c r="H616" s="6" t="s">
        <v>89</v>
      </c>
      <c r="I616" s="6">
        <v>3</v>
      </c>
      <c r="J616" s="8">
        <v>178600</v>
      </c>
      <c r="K616" s="9">
        <v>0.05</v>
      </c>
      <c r="L616" s="10">
        <v>509010</v>
      </c>
      <c r="M616" s="6">
        <v>345000</v>
      </c>
      <c r="N616" s="6">
        <v>164010</v>
      </c>
      <c r="O616" s="6" t="s">
        <v>104</v>
      </c>
      <c r="P616" s="6" t="s">
        <v>32</v>
      </c>
      <c r="Q616" s="6" t="s">
        <v>26</v>
      </c>
    </row>
    <row r="617" spans="1:17" x14ac:dyDescent="0.3">
      <c r="A617" s="6" t="s">
        <v>1144</v>
      </c>
      <c r="B617" s="7">
        <v>46032</v>
      </c>
      <c r="C617" s="6" t="s">
        <v>603</v>
      </c>
      <c r="D617" s="6" t="s">
        <v>604</v>
      </c>
      <c r="E617" s="6" t="s">
        <v>20</v>
      </c>
      <c r="F617" s="6" t="s">
        <v>21</v>
      </c>
      <c r="G617" s="6" t="s">
        <v>78</v>
      </c>
      <c r="H617" s="6" t="s">
        <v>79</v>
      </c>
      <c r="I617" s="6">
        <v>3</v>
      </c>
      <c r="J617" s="8">
        <v>34000</v>
      </c>
      <c r="K617" s="9">
        <v>0.05</v>
      </c>
      <c r="L617" s="10">
        <v>96900</v>
      </c>
      <c r="M617" s="6">
        <v>54000</v>
      </c>
      <c r="N617" s="6">
        <v>42900</v>
      </c>
      <c r="O617" s="6" t="s">
        <v>40</v>
      </c>
      <c r="P617" s="6" t="s">
        <v>74</v>
      </c>
      <c r="Q617" s="6" t="s">
        <v>26</v>
      </c>
    </row>
    <row r="618" spans="1:17" x14ac:dyDescent="0.3">
      <c r="A618" s="6" t="s">
        <v>1145</v>
      </c>
      <c r="B618" s="7">
        <v>46033</v>
      </c>
      <c r="C618" s="6" t="s">
        <v>268</v>
      </c>
      <c r="D618" s="6" t="s">
        <v>269</v>
      </c>
      <c r="E618" s="6" t="s">
        <v>30</v>
      </c>
      <c r="F618" s="6" t="s">
        <v>159</v>
      </c>
      <c r="G618" s="6" t="s">
        <v>22</v>
      </c>
      <c r="H618" s="6" t="s">
        <v>83</v>
      </c>
      <c r="I618" s="6">
        <v>6</v>
      </c>
      <c r="J618" s="8">
        <v>683100</v>
      </c>
      <c r="K618" s="9">
        <v>0.1</v>
      </c>
      <c r="L618" s="10">
        <v>3688740</v>
      </c>
      <c r="M618" s="6">
        <v>2820000</v>
      </c>
      <c r="N618" s="6">
        <v>868740</v>
      </c>
      <c r="O618" s="6" t="s">
        <v>24</v>
      </c>
      <c r="P618" s="6" t="s">
        <v>32</v>
      </c>
      <c r="Q618" s="6" t="s">
        <v>26</v>
      </c>
    </row>
    <row r="619" spans="1:17" x14ac:dyDescent="0.3">
      <c r="A619" s="6" t="s">
        <v>1146</v>
      </c>
      <c r="B619" s="7">
        <v>46033</v>
      </c>
      <c r="C619" s="6" t="s">
        <v>42</v>
      </c>
      <c r="D619" s="6" t="s">
        <v>43</v>
      </c>
      <c r="E619" s="6" t="s">
        <v>30</v>
      </c>
      <c r="F619" s="6" t="s">
        <v>159</v>
      </c>
      <c r="G619" s="6" t="s">
        <v>44</v>
      </c>
      <c r="H619" s="6" t="s">
        <v>89</v>
      </c>
      <c r="I619" s="6">
        <v>3</v>
      </c>
      <c r="J619" s="8">
        <v>185100</v>
      </c>
      <c r="K619" s="9">
        <v>0.05</v>
      </c>
      <c r="L619" s="10">
        <v>527535</v>
      </c>
      <c r="M619" s="6">
        <v>345000</v>
      </c>
      <c r="N619" s="6">
        <v>182535</v>
      </c>
      <c r="O619" s="6" t="s">
        <v>40</v>
      </c>
      <c r="P619" s="6" t="s">
        <v>90</v>
      </c>
      <c r="Q619" s="6" t="s">
        <v>26</v>
      </c>
    </row>
    <row r="620" spans="1:17" x14ac:dyDescent="0.3">
      <c r="A620" s="6" t="s">
        <v>1147</v>
      </c>
      <c r="B620" s="7">
        <v>46034</v>
      </c>
      <c r="C620" s="6" t="s">
        <v>129</v>
      </c>
      <c r="D620" s="6" t="s">
        <v>130</v>
      </c>
      <c r="E620" s="6" t="s">
        <v>20</v>
      </c>
      <c r="F620" s="6" t="s">
        <v>21</v>
      </c>
      <c r="G620" s="6" t="s">
        <v>22</v>
      </c>
      <c r="H620" s="6" t="s">
        <v>83</v>
      </c>
      <c r="I620" s="6">
        <v>7</v>
      </c>
      <c r="J620" s="8">
        <v>648700</v>
      </c>
      <c r="K620" s="9">
        <v>0.1</v>
      </c>
      <c r="L620" s="10">
        <v>4086810</v>
      </c>
      <c r="M620" s="6">
        <v>3290000</v>
      </c>
      <c r="N620" s="6">
        <v>796810</v>
      </c>
      <c r="O620" s="6" t="s">
        <v>40</v>
      </c>
      <c r="P620" s="6" t="s">
        <v>163</v>
      </c>
      <c r="Q620" s="6" t="s">
        <v>26</v>
      </c>
    </row>
    <row r="621" spans="1:17" x14ac:dyDescent="0.3">
      <c r="A621" s="6" t="s">
        <v>1148</v>
      </c>
      <c r="B621" s="7">
        <v>46034</v>
      </c>
      <c r="C621" s="6" t="s">
        <v>411</v>
      </c>
      <c r="D621" s="6" t="s">
        <v>412</v>
      </c>
      <c r="E621" s="6" t="s">
        <v>36</v>
      </c>
      <c r="F621" s="6" t="s">
        <v>155</v>
      </c>
      <c r="G621" s="6" t="s">
        <v>38</v>
      </c>
      <c r="H621" s="6" t="s">
        <v>39</v>
      </c>
      <c r="I621" s="6">
        <v>1</v>
      </c>
      <c r="J621" s="8">
        <v>29100</v>
      </c>
      <c r="K621" s="9">
        <v>0.02</v>
      </c>
      <c r="L621" s="10">
        <v>28518</v>
      </c>
      <c r="M621" s="6">
        <v>15000</v>
      </c>
      <c r="N621" s="6">
        <v>13518</v>
      </c>
      <c r="O621" s="6" t="s">
        <v>24</v>
      </c>
      <c r="P621" s="6" t="s">
        <v>119</v>
      </c>
      <c r="Q621" s="6" t="s">
        <v>26</v>
      </c>
    </row>
    <row r="622" spans="1:17" x14ac:dyDescent="0.3">
      <c r="A622" s="6" t="s">
        <v>1149</v>
      </c>
      <c r="B622" s="7">
        <v>46035</v>
      </c>
      <c r="C622" s="6" t="s">
        <v>725</v>
      </c>
      <c r="D622" s="6" t="s">
        <v>726</v>
      </c>
      <c r="E622" s="6" t="s">
        <v>20</v>
      </c>
      <c r="F622" s="6" t="s">
        <v>123</v>
      </c>
      <c r="G622" s="6" t="s">
        <v>44</v>
      </c>
      <c r="H622" s="6" t="s">
        <v>45</v>
      </c>
      <c r="I622" s="6">
        <v>2</v>
      </c>
      <c r="J622" s="8">
        <v>534400</v>
      </c>
      <c r="K622" s="9">
        <v>0.02</v>
      </c>
      <c r="L622" s="10">
        <v>1047424</v>
      </c>
      <c r="M622" s="6">
        <v>730000</v>
      </c>
      <c r="N622" s="6">
        <v>317424</v>
      </c>
      <c r="O622" s="6" t="s">
        <v>40</v>
      </c>
      <c r="P622" s="6" t="s">
        <v>74</v>
      </c>
      <c r="Q622" s="6" t="s">
        <v>26</v>
      </c>
    </row>
    <row r="623" spans="1:17" x14ac:dyDescent="0.3">
      <c r="A623" s="6" t="s">
        <v>1150</v>
      </c>
      <c r="B623" s="7">
        <v>46036</v>
      </c>
      <c r="C623" s="6" t="s">
        <v>98</v>
      </c>
      <c r="D623" s="6" t="s">
        <v>99</v>
      </c>
      <c r="E623" s="6" t="s">
        <v>20</v>
      </c>
      <c r="F623" s="6" t="s">
        <v>20</v>
      </c>
      <c r="G623" s="6" t="s">
        <v>78</v>
      </c>
      <c r="H623" s="6" t="s">
        <v>318</v>
      </c>
      <c r="I623" s="6">
        <v>2</v>
      </c>
      <c r="J623" s="8">
        <v>80200</v>
      </c>
      <c r="K623" s="9">
        <v>0.02</v>
      </c>
      <c r="L623" s="10">
        <v>157192</v>
      </c>
      <c r="M623" s="6">
        <v>86000</v>
      </c>
      <c r="N623" s="6">
        <v>71192</v>
      </c>
      <c r="O623" s="6" t="s">
        <v>68</v>
      </c>
      <c r="P623" s="6" t="s">
        <v>74</v>
      </c>
      <c r="Q623" s="6" t="s">
        <v>26</v>
      </c>
    </row>
    <row r="624" spans="1:17" x14ac:dyDescent="0.3">
      <c r="A624" s="6" t="s">
        <v>1151</v>
      </c>
      <c r="B624" s="7">
        <v>46037</v>
      </c>
      <c r="C624" s="6" t="s">
        <v>256</v>
      </c>
      <c r="D624" s="6" t="s">
        <v>257</v>
      </c>
      <c r="E624" s="6" t="s">
        <v>67</v>
      </c>
      <c r="F624" s="6" t="s">
        <v>100</v>
      </c>
      <c r="G624" s="6" t="s">
        <v>22</v>
      </c>
      <c r="H624" s="6" t="s">
        <v>83</v>
      </c>
      <c r="I624" s="6">
        <v>7</v>
      </c>
      <c r="J624" s="8">
        <v>666500</v>
      </c>
      <c r="K624" s="9">
        <v>0</v>
      </c>
      <c r="L624" s="10">
        <v>4665500</v>
      </c>
      <c r="M624" s="6">
        <v>3290000</v>
      </c>
      <c r="N624" s="6">
        <v>1375500</v>
      </c>
      <c r="O624" s="6" t="s">
        <v>104</v>
      </c>
      <c r="P624" s="6" t="s">
        <v>63</v>
      </c>
      <c r="Q624" s="6" t="s">
        <v>26</v>
      </c>
    </row>
    <row r="625" spans="1:17" x14ac:dyDescent="0.3">
      <c r="A625" s="6" t="s">
        <v>1152</v>
      </c>
      <c r="B625" s="7">
        <v>46042</v>
      </c>
      <c r="C625" s="6" t="s">
        <v>680</v>
      </c>
      <c r="D625" s="6" t="s">
        <v>681</v>
      </c>
      <c r="E625" s="6" t="s">
        <v>20</v>
      </c>
      <c r="F625" s="6" t="s">
        <v>20</v>
      </c>
      <c r="G625" s="6" t="s">
        <v>38</v>
      </c>
      <c r="H625" s="6" t="s">
        <v>39</v>
      </c>
      <c r="I625" s="6">
        <v>5</v>
      </c>
      <c r="J625" s="8">
        <v>28500</v>
      </c>
      <c r="K625" s="9">
        <v>0.08</v>
      </c>
      <c r="L625" s="10">
        <v>-131100</v>
      </c>
      <c r="M625" s="6">
        <v>-75000</v>
      </c>
      <c r="N625" s="6">
        <v>-56100</v>
      </c>
      <c r="O625" s="6" t="s">
        <v>40</v>
      </c>
      <c r="P625" s="6" t="s">
        <v>90</v>
      </c>
      <c r="Q625" s="6" t="s">
        <v>105</v>
      </c>
    </row>
    <row r="626" spans="1:17" x14ac:dyDescent="0.3">
      <c r="A626" s="6" t="s">
        <v>1153</v>
      </c>
      <c r="B626" s="7">
        <v>46044</v>
      </c>
      <c r="C626" s="6" t="s">
        <v>259</v>
      </c>
      <c r="D626" s="6" t="s">
        <v>260</v>
      </c>
      <c r="E626" s="6" t="s">
        <v>36</v>
      </c>
      <c r="F626" s="6" t="s">
        <v>37</v>
      </c>
      <c r="G626" s="6" t="s">
        <v>22</v>
      </c>
      <c r="H626" s="6" t="s">
        <v>83</v>
      </c>
      <c r="I626" s="6">
        <v>4</v>
      </c>
      <c r="J626" s="8">
        <v>628700</v>
      </c>
      <c r="K626" s="9">
        <v>0.05</v>
      </c>
      <c r="L626" s="10">
        <v>2389060</v>
      </c>
      <c r="M626" s="6">
        <v>1880000</v>
      </c>
      <c r="N626" s="6">
        <v>509060</v>
      </c>
      <c r="O626" s="6" t="s">
        <v>68</v>
      </c>
      <c r="P626" s="6" t="s">
        <v>119</v>
      </c>
      <c r="Q626" s="6" t="s">
        <v>26</v>
      </c>
    </row>
    <row r="627" spans="1:17" x14ac:dyDescent="0.3">
      <c r="A627" s="6" t="s">
        <v>1154</v>
      </c>
      <c r="B627" s="7">
        <v>46044</v>
      </c>
      <c r="C627" s="6" t="s">
        <v>658</v>
      </c>
      <c r="D627" s="6" t="s">
        <v>659</v>
      </c>
      <c r="E627" s="6" t="s">
        <v>30</v>
      </c>
      <c r="F627" s="6" t="s">
        <v>159</v>
      </c>
      <c r="G627" s="6" t="s">
        <v>22</v>
      </c>
      <c r="H627" s="6" t="s">
        <v>58</v>
      </c>
      <c r="I627" s="6">
        <v>6</v>
      </c>
      <c r="J627" s="8">
        <v>100600</v>
      </c>
      <c r="K627" s="9">
        <v>0.05</v>
      </c>
      <c r="L627" s="10">
        <v>573420</v>
      </c>
      <c r="M627" s="6">
        <v>330000</v>
      </c>
      <c r="N627" s="6">
        <v>243420</v>
      </c>
      <c r="O627" s="6" t="s">
        <v>68</v>
      </c>
      <c r="P627" s="6" t="s">
        <v>54</v>
      </c>
      <c r="Q627" s="6" t="s">
        <v>26</v>
      </c>
    </row>
    <row r="628" spans="1:17" x14ac:dyDescent="0.3">
      <c r="A628" s="6" t="s">
        <v>1155</v>
      </c>
      <c r="B628" s="7">
        <v>46044</v>
      </c>
      <c r="C628" s="6" t="s">
        <v>607</v>
      </c>
      <c r="D628" s="6" t="s">
        <v>608</v>
      </c>
      <c r="E628" s="6" t="s">
        <v>30</v>
      </c>
      <c r="F628" s="6" t="s">
        <v>222</v>
      </c>
      <c r="G628" s="6" t="s">
        <v>38</v>
      </c>
      <c r="H628" s="6" t="s">
        <v>53</v>
      </c>
      <c r="I628" s="6">
        <v>2</v>
      </c>
      <c r="J628" s="8">
        <v>365400</v>
      </c>
      <c r="K628" s="9">
        <v>0</v>
      </c>
      <c r="L628" s="10">
        <v>730800</v>
      </c>
      <c r="M628" s="6">
        <v>560000</v>
      </c>
      <c r="N628" s="6">
        <v>170800</v>
      </c>
      <c r="O628" s="6" t="s">
        <v>104</v>
      </c>
      <c r="P628" s="6" t="s">
        <v>32</v>
      </c>
      <c r="Q628" s="6" t="s">
        <v>26</v>
      </c>
    </row>
    <row r="629" spans="1:17" x14ac:dyDescent="0.3">
      <c r="A629" s="6" t="s">
        <v>1156</v>
      </c>
      <c r="B629" s="7">
        <v>46045</v>
      </c>
      <c r="C629" s="6" t="s">
        <v>81</v>
      </c>
      <c r="D629" s="6" t="s">
        <v>82</v>
      </c>
      <c r="E629" s="6" t="s">
        <v>20</v>
      </c>
      <c r="F629" s="6" t="s">
        <v>21</v>
      </c>
      <c r="G629" s="6" t="s">
        <v>22</v>
      </c>
      <c r="H629" s="6" t="s">
        <v>58</v>
      </c>
      <c r="I629" s="6">
        <v>6</v>
      </c>
      <c r="J629" s="8">
        <v>87900</v>
      </c>
      <c r="K629" s="9">
        <v>0.1</v>
      </c>
      <c r="L629" s="10">
        <v>474660</v>
      </c>
      <c r="M629" s="6">
        <v>330000</v>
      </c>
      <c r="N629" s="6">
        <v>144660</v>
      </c>
      <c r="O629" s="6" t="s">
        <v>68</v>
      </c>
      <c r="P629" s="6" t="s">
        <v>54</v>
      </c>
      <c r="Q629" s="6" t="s">
        <v>26</v>
      </c>
    </row>
    <row r="630" spans="1:17" x14ac:dyDescent="0.3">
      <c r="A630" s="6" t="s">
        <v>1157</v>
      </c>
      <c r="B630" s="7">
        <v>46046</v>
      </c>
      <c r="C630" s="6" t="s">
        <v>268</v>
      </c>
      <c r="D630" s="6" t="s">
        <v>269</v>
      </c>
      <c r="E630" s="6" t="s">
        <v>87</v>
      </c>
      <c r="F630" s="6" t="s">
        <v>135</v>
      </c>
      <c r="G630" s="6" t="s">
        <v>44</v>
      </c>
      <c r="H630" s="6" t="s">
        <v>89</v>
      </c>
      <c r="I630" s="6">
        <v>3</v>
      </c>
      <c r="J630" s="8">
        <v>189800</v>
      </c>
      <c r="K630" s="9">
        <v>0.08</v>
      </c>
      <c r="L630" s="10">
        <v>523848</v>
      </c>
      <c r="M630" s="6">
        <v>345000</v>
      </c>
      <c r="N630" s="6">
        <v>178848</v>
      </c>
      <c r="O630" s="6" t="s">
        <v>40</v>
      </c>
      <c r="P630" s="6" t="s">
        <v>32</v>
      </c>
      <c r="Q630" s="6" t="s">
        <v>26</v>
      </c>
    </row>
    <row r="631" spans="1:17" x14ac:dyDescent="0.3">
      <c r="A631" s="6" t="s">
        <v>1158</v>
      </c>
      <c r="B631" s="7">
        <v>46049</v>
      </c>
      <c r="C631" s="6" t="s">
        <v>157</v>
      </c>
      <c r="D631" s="6" t="s">
        <v>158</v>
      </c>
      <c r="E631" s="6" t="s">
        <v>20</v>
      </c>
      <c r="F631" s="6" t="s">
        <v>123</v>
      </c>
      <c r="G631" s="6" t="s">
        <v>22</v>
      </c>
      <c r="H631" s="6" t="s">
        <v>49</v>
      </c>
      <c r="I631" s="6">
        <v>5</v>
      </c>
      <c r="J631" s="8">
        <v>1327700</v>
      </c>
      <c r="K631" s="9">
        <v>0.08</v>
      </c>
      <c r="L631" s="10">
        <v>6107420</v>
      </c>
      <c r="M631" s="6">
        <v>4750000</v>
      </c>
      <c r="N631" s="6">
        <v>1357420</v>
      </c>
      <c r="O631" s="6" t="s">
        <v>68</v>
      </c>
      <c r="P631" s="6" t="s">
        <v>63</v>
      </c>
      <c r="Q631" s="6" t="s">
        <v>26</v>
      </c>
    </row>
    <row r="632" spans="1:17" x14ac:dyDescent="0.3">
      <c r="A632" s="6" t="s">
        <v>1159</v>
      </c>
      <c r="B632" s="7">
        <v>46050</v>
      </c>
      <c r="C632" s="6" t="s">
        <v>610</v>
      </c>
      <c r="D632" s="6" t="s">
        <v>611</v>
      </c>
      <c r="E632" s="6" t="s">
        <v>20</v>
      </c>
      <c r="F632" s="6" t="s">
        <v>21</v>
      </c>
      <c r="G632" s="6" t="s">
        <v>22</v>
      </c>
      <c r="H632" s="6" t="s">
        <v>58</v>
      </c>
      <c r="I632" s="6">
        <v>7</v>
      </c>
      <c r="J632" s="8">
        <v>96200</v>
      </c>
      <c r="K632" s="9">
        <v>0.1</v>
      </c>
      <c r="L632" s="10">
        <v>606060</v>
      </c>
      <c r="M632" s="6">
        <v>385000</v>
      </c>
      <c r="N632" s="6">
        <v>221060</v>
      </c>
      <c r="O632" s="6" t="s">
        <v>31</v>
      </c>
      <c r="P632" s="6" t="s">
        <v>25</v>
      </c>
      <c r="Q632" s="6" t="s">
        <v>26</v>
      </c>
    </row>
    <row r="633" spans="1:17" x14ac:dyDescent="0.3">
      <c r="A633" s="6" t="s">
        <v>1160</v>
      </c>
      <c r="B633" s="7">
        <v>46051</v>
      </c>
      <c r="C633" s="6" t="s">
        <v>880</v>
      </c>
      <c r="D633" s="6" t="s">
        <v>881</v>
      </c>
      <c r="E633" s="6" t="s">
        <v>30</v>
      </c>
      <c r="F633" s="6" t="s">
        <v>159</v>
      </c>
      <c r="G633" s="6" t="s">
        <v>22</v>
      </c>
      <c r="H633" s="6" t="s">
        <v>58</v>
      </c>
      <c r="I633" s="6">
        <v>4</v>
      </c>
      <c r="J633" s="8">
        <v>101200</v>
      </c>
      <c r="K633" s="9">
        <v>0.08</v>
      </c>
      <c r="L633" s="10">
        <v>372416</v>
      </c>
      <c r="M633" s="6">
        <v>220000</v>
      </c>
      <c r="N633" s="6">
        <v>152416</v>
      </c>
      <c r="O633" s="6" t="s">
        <v>68</v>
      </c>
      <c r="P633" s="6" t="s">
        <v>63</v>
      </c>
      <c r="Q633" s="6" t="s">
        <v>26</v>
      </c>
    </row>
    <row r="634" spans="1:17" x14ac:dyDescent="0.3">
      <c r="A634" s="6" t="s">
        <v>1161</v>
      </c>
      <c r="B634" s="7">
        <v>46051</v>
      </c>
      <c r="C634" s="6" t="s">
        <v>554</v>
      </c>
      <c r="D634" s="6" t="s">
        <v>555</v>
      </c>
      <c r="E634" s="6" t="s">
        <v>36</v>
      </c>
      <c r="F634" s="6" t="s">
        <v>155</v>
      </c>
      <c r="G634" s="6" t="s">
        <v>78</v>
      </c>
      <c r="H634" s="6" t="s">
        <v>115</v>
      </c>
      <c r="I634" s="6">
        <v>4</v>
      </c>
      <c r="J634" s="8">
        <v>88200</v>
      </c>
      <c r="K634" s="9">
        <v>0.08</v>
      </c>
      <c r="L634" s="10">
        <v>324576</v>
      </c>
      <c r="M634" s="6">
        <v>232000</v>
      </c>
      <c r="N634" s="6">
        <v>92576</v>
      </c>
      <c r="O634" s="6" t="s">
        <v>31</v>
      </c>
      <c r="P634" s="6" t="s">
        <v>90</v>
      </c>
      <c r="Q634" s="6" t="s">
        <v>26</v>
      </c>
    </row>
    <row r="635" spans="1:17" x14ac:dyDescent="0.3">
      <c r="A635" s="6" t="s">
        <v>1162</v>
      </c>
      <c r="B635" s="7">
        <v>46052</v>
      </c>
      <c r="C635" s="6" t="s">
        <v>782</v>
      </c>
      <c r="D635" s="6" t="s">
        <v>783</v>
      </c>
      <c r="E635" s="6" t="s">
        <v>36</v>
      </c>
      <c r="F635" s="6" t="s">
        <v>37</v>
      </c>
      <c r="G635" s="6" t="s">
        <v>38</v>
      </c>
      <c r="H635" s="6" t="s">
        <v>53</v>
      </c>
      <c r="I635" s="6">
        <v>3</v>
      </c>
      <c r="J635" s="8">
        <v>398500</v>
      </c>
      <c r="K635" s="9">
        <v>0.02</v>
      </c>
      <c r="L635" s="10">
        <v>1171590</v>
      </c>
      <c r="M635" s="6">
        <v>840000</v>
      </c>
      <c r="N635" s="6">
        <v>331590</v>
      </c>
      <c r="O635" s="6" t="s">
        <v>104</v>
      </c>
      <c r="P635" s="6" t="s">
        <v>25</v>
      </c>
      <c r="Q635" s="6" t="s">
        <v>26</v>
      </c>
    </row>
    <row r="636" spans="1:17" x14ac:dyDescent="0.3">
      <c r="A636" s="6" t="s">
        <v>1163</v>
      </c>
      <c r="B636" s="7">
        <v>46053</v>
      </c>
      <c r="C636" s="6" t="s">
        <v>697</v>
      </c>
      <c r="D636" s="6" t="s">
        <v>698</v>
      </c>
      <c r="E636" s="6" t="s">
        <v>20</v>
      </c>
      <c r="F636" s="6" t="s">
        <v>20</v>
      </c>
      <c r="G636" s="6" t="s">
        <v>44</v>
      </c>
      <c r="H636" s="6" t="s">
        <v>73</v>
      </c>
      <c r="I636" s="6">
        <v>7</v>
      </c>
      <c r="J636" s="8">
        <v>291500</v>
      </c>
      <c r="K636" s="9">
        <v>0.08</v>
      </c>
      <c r="L636" s="10">
        <v>-1877260</v>
      </c>
      <c r="M636" s="6">
        <v>-1470000</v>
      </c>
      <c r="N636" s="6">
        <v>-407260</v>
      </c>
      <c r="O636" s="6" t="s">
        <v>24</v>
      </c>
      <c r="P636" s="6" t="s">
        <v>119</v>
      </c>
      <c r="Q636" s="6" t="s">
        <v>105</v>
      </c>
    </row>
    <row r="637" spans="1:17" x14ac:dyDescent="0.3">
      <c r="A637" s="6" t="s">
        <v>1164</v>
      </c>
      <c r="B637" s="7">
        <v>46053</v>
      </c>
      <c r="C637" s="6" t="s">
        <v>619</v>
      </c>
      <c r="D637" s="6" t="s">
        <v>620</v>
      </c>
      <c r="E637" s="6" t="s">
        <v>87</v>
      </c>
      <c r="F637" s="6" t="s">
        <v>88</v>
      </c>
      <c r="G637" s="6" t="s">
        <v>22</v>
      </c>
      <c r="H637" s="6" t="s">
        <v>49</v>
      </c>
      <c r="I637" s="6">
        <v>7</v>
      </c>
      <c r="J637" s="8">
        <v>1295200</v>
      </c>
      <c r="K637" s="9">
        <v>0.05</v>
      </c>
      <c r="L637" s="10">
        <v>8613080</v>
      </c>
      <c r="M637" s="6">
        <v>6650000</v>
      </c>
      <c r="N637" s="6">
        <v>1963080</v>
      </c>
      <c r="O637" s="6" t="s">
        <v>24</v>
      </c>
      <c r="P637" s="6" t="s">
        <v>32</v>
      </c>
      <c r="Q637" s="6" t="s">
        <v>26</v>
      </c>
    </row>
    <row r="638" spans="1:17" x14ac:dyDescent="0.3">
      <c r="A638" s="6" t="s">
        <v>1165</v>
      </c>
      <c r="B638" s="7">
        <v>46053</v>
      </c>
      <c r="C638" s="6" t="s">
        <v>183</v>
      </c>
      <c r="D638" s="6" t="s">
        <v>184</v>
      </c>
      <c r="E638" s="6" t="s">
        <v>20</v>
      </c>
      <c r="F638" s="6" t="s">
        <v>123</v>
      </c>
      <c r="G638" s="6" t="s">
        <v>22</v>
      </c>
      <c r="H638" s="6" t="s">
        <v>49</v>
      </c>
      <c r="I638" s="6">
        <v>7</v>
      </c>
      <c r="J638" s="8">
        <v>1306300</v>
      </c>
      <c r="K638" s="9">
        <v>0</v>
      </c>
      <c r="L638" s="10">
        <v>-9144100</v>
      </c>
      <c r="M638" s="6">
        <v>-6650000</v>
      </c>
      <c r="N638" s="6">
        <v>-2494100</v>
      </c>
      <c r="O638" s="6" t="s">
        <v>68</v>
      </c>
      <c r="P638" s="6" t="s">
        <v>63</v>
      </c>
      <c r="Q638" s="6" t="s">
        <v>105</v>
      </c>
    </row>
    <row r="639" spans="1:17" x14ac:dyDescent="0.3">
      <c r="A639" s="6" t="s">
        <v>1166</v>
      </c>
      <c r="B639" s="7">
        <v>46053</v>
      </c>
      <c r="C639" s="6" t="s">
        <v>209</v>
      </c>
      <c r="D639" s="6" t="s">
        <v>210</v>
      </c>
      <c r="E639" s="6" t="s">
        <v>87</v>
      </c>
      <c r="F639" s="6" t="s">
        <v>135</v>
      </c>
      <c r="G639" s="6" t="s">
        <v>22</v>
      </c>
      <c r="H639" s="6" t="s">
        <v>23</v>
      </c>
      <c r="I639" s="6">
        <v>4</v>
      </c>
      <c r="J639" s="8">
        <v>450200</v>
      </c>
      <c r="K639" s="9">
        <v>0.15</v>
      </c>
      <c r="L639" s="10">
        <v>1530680</v>
      </c>
      <c r="M639" s="6">
        <v>1200000</v>
      </c>
      <c r="N639" s="6">
        <v>330680</v>
      </c>
      <c r="O639" s="6" t="s">
        <v>31</v>
      </c>
      <c r="P639" s="6" t="s">
        <v>163</v>
      </c>
      <c r="Q639" s="6" t="s">
        <v>26</v>
      </c>
    </row>
    <row r="640" spans="1:17" x14ac:dyDescent="0.3">
      <c r="A640" s="6" t="s">
        <v>1167</v>
      </c>
      <c r="B640" s="7">
        <v>46054</v>
      </c>
      <c r="C640" s="6" t="s">
        <v>92</v>
      </c>
      <c r="D640" s="6" t="s">
        <v>93</v>
      </c>
      <c r="E640" s="6" t="s">
        <v>30</v>
      </c>
      <c r="F640" s="6" t="s">
        <v>222</v>
      </c>
      <c r="G640" s="6" t="s">
        <v>44</v>
      </c>
      <c r="H640" s="6" t="s">
        <v>73</v>
      </c>
      <c r="I640" s="6">
        <v>5</v>
      </c>
      <c r="J640" s="8">
        <v>300900</v>
      </c>
      <c r="K640" s="9">
        <v>0.1</v>
      </c>
      <c r="L640" s="10">
        <v>1354050</v>
      </c>
      <c r="M640" s="6">
        <v>1050000</v>
      </c>
      <c r="N640" s="6">
        <v>304050</v>
      </c>
      <c r="O640" s="6" t="s">
        <v>24</v>
      </c>
      <c r="P640" s="6" t="s">
        <v>163</v>
      </c>
      <c r="Q640" s="6" t="s">
        <v>26</v>
      </c>
    </row>
    <row r="641" spans="1:17" x14ac:dyDescent="0.3">
      <c r="A641" s="6" t="s">
        <v>1168</v>
      </c>
      <c r="B641" s="7">
        <v>46054</v>
      </c>
      <c r="C641" s="6" t="s">
        <v>1169</v>
      </c>
      <c r="D641" s="6" t="s">
        <v>1170</v>
      </c>
      <c r="E641" s="6" t="s">
        <v>30</v>
      </c>
      <c r="F641" s="6" t="s">
        <v>30</v>
      </c>
      <c r="G641" s="6" t="s">
        <v>38</v>
      </c>
      <c r="H641" s="6" t="s">
        <v>127</v>
      </c>
      <c r="I641" s="6">
        <v>2</v>
      </c>
      <c r="J641" s="8">
        <v>248700</v>
      </c>
      <c r="K641" s="9">
        <v>0.1</v>
      </c>
      <c r="L641" s="10">
        <v>447660</v>
      </c>
      <c r="M641" s="6">
        <v>330000</v>
      </c>
      <c r="N641" s="6">
        <v>117660</v>
      </c>
      <c r="O641" s="6" t="s">
        <v>68</v>
      </c>
      <c r="P641" s="6" t="s">
        <v>32</v>
      </c>
      <c r="Q641" s="6" t="s">
        <v>26</v>
      </c>
    </row>
    <row r="642" spans="1:17" x14ac:dyDescent="0.3">
      <c r="A642" s="6" t="s">
        <v>1171</v>
      </c>
      <c r="B642" s="7">
        <v>46054</v>
      </c>
      <c r="C642" s="6" t="s">
        <v>687</v>
      </c>
      <c r="D642" s="6" t="s">
        <v>688</v>
      </c>
      <c r="E642" s="6" t="s">
        <v>30</v>
      </c>
      <c r="F642" s="6" t="s">
        <v>30</v>
      </c>
      <c r="G642" s="6" t="s">
        <v>38</v>
      </c>
      <c r="H642" s="6" t="s">
        <v>214</v>
      </c>
      <c r="I642" s="6">
        <v>2</v>
      </c>
      <c r="J642" s="8">
        <v>41600</v>
      </c>
      <c r="K642" s="9">
        <v>0.1</v>
      </c>
      <c r="L642" s="10">
        <v>74880</v>
      </c>
      <c r="M642" s="6">
        <v>52000</v>
      </c>
      <c r="N642" s="6">
        <v>22880</v>
      </c>
      <c r="O642" s="6" t="s">
        <v>31</v>
      </c>
      <c r="P642" s="6" t="s">
        <v>25</v>
      </c>
      <c r="Q642" s="6" t="s">
        <v>26</v>
      </c>
    </row>
    <row r="643" spans="1:17" x14ac:dyDescent="0.3">
      <c r="A643" s="6" t="s">
        <v>1172</v>
      </c>
      <c r="B643" s="7">
        <v>46055</v>
      </c>
      <c r="C643" s="6" t="s">
        <v>1077</v>
      </c>
      <c r="D643" s="6" t="s">
        <v>1078</v>
      </c>
      <c r="E643" s="6" t="s">
        <v>30</v>
      </c>
      <c r="F643" s="6" t="s">
        <v>159</v>
      </c>
      <c r="G643" s="6" t="s">
        <v>44</v>
      </c>
      <c r="H643" s="6" t="s">
        <v>89</v>
      </c>
      <c r="I643" s="6">
        <v>3</v>
      </c>
      <c r="J643" s="8">
        <v>183900</v>
      </c>
      <c r="K643" s="9">
        <v>0</v>
      </c>
      <c r="L643" s="10">
        <v>551700</v>
      </c>
      <c r="M643" s="6">
        <v>345000</v>
      </c>
      <c r="N643" s="6">
        <v>206700</v>
      </c>
      <c r="O643" s="6" t="s">
        <v>104</v>
      </c>
      <c r="P643" s="6" t="s">
        <v>119</v>
      </c>
      <c r="Q643" s="6" t="s">
        <v>26</v>
      </c>
    </row>
    <row r="644" spans="1:17" x14ac:dyDescent="0.3">
      <c r="A644" s="6" t="s">
        <v>1173</v>
      </c>
      <c r="B644" s="7">
        <v>46055</v>
      </c>
      <c r="C644" s="6" t="s">
        <v>561</v>
      </c>
      <c r="D644" s="6" t="s">
        <v>562</v>
      </c>
      <c r="E644" s="6" t="s">
        <v>36</v>
      </c>
      <c r="F644" s="6" t="s">
        <v>36</v>
      </c>
      <c r="G644" s="6" t="s">
        <v>44</v>
      </c>
      <c r="H644" s="6" t="s">
        <v>89</v>
      </c>
      <c r="I644" s="6">
        <v>1</v>
      </c>
      <c r="J644" s="8">
        <v>191700</v>
      </c>
      <c r="K644" s="9">
        <v>0.02</v>
      </c>
      <c r="L644" s="10">
        <v>187866</v>
      </c>
      <c r="M644" s="6">
        <v>115000</v>
      </c>
      <c r="N644" s="6">
        <v>72866</v>
      </c>
      <c r="O644" s="6" t="s">
        <v>40</v>
      </c>
      <c r="P644" s="6" t="s">
        <v>25</v>
      </c>
      <c r="Q644" s="6" t="s">
        <v>26</v>
      </c>
    </row>
    <row r="645" spans="1:17" x14ac:dyDescent="0.3">
      <c r="A645" s="6" t="s">
        <v>1174</v>
      </c>
      <c r="B645" s="7">
        <v>46055</v>
      </c>
      <c r="C645" s="6" t="s">
        <v>396</v>
      </c>
      <c r="D645" s="6" t="s">
        <v>397</v>
      </c>
      <c r="E645" s="6" t="s">
        <v>67</v>
      </c>
      <c r="F645" s="6" t="s">
        <v>236</v>
      </c>
      <c r="G645" s="6" t="s">
        <v>78</v>
      </c>
      <c r="H645" s="6" t="s">
        <v>79</v>
      </c>
      <c r="I645" s="6">
        <v>6</v>
      </c>
      <c r="J645" s="8">
        <v>32000</v>
      </c>
      <c r="K645" s="9">
        <v>0.08</v>
      </c>
      <c r="L645" s="10">
        <v>176640</v>
      </c>
      <c r="M645" s="6">
        <v>108000</v>
      </c>
      <c r="N645" s="6">
        <v>68640</v>
      </c>
      <c r="O645" s="6" t="s">
        <v>24</v>
      </c>
      <c r="P645" s="6" t="s">
        <v>119</v>
      </c>
      <c r="Q645" s="6" t="s">
        <v>26</v>
      </c>
    </row>
    <row r="646" spans="1:17" x14ac:dyDescent="0.3">
      <c r="A646" s="6" t="s">
        <v>1175</v>
      </c>
      <c r="B646" s="7">
        <v>46057</v>
      </c>
      <c r="C646" s="6" t="s">
        <v>1176</v>
      </c>
      <c r="D646" s="6" t="s">
        <v>1177</v>
      </c>
      <c r="E646" s="6" t="s">
        <v>20</v>
      </c>
      <c r="F646" s="6" t="s">
        <v>123</v>
      </c>
      <c r="G646" s="6" t="s">
        <v>22</v>
      </c>
      <c r="H646" s="6" t="s">
        <v>58</v>
      </c>
      <c r="I646" s="6">
        <v>5</v>
      </c>
      <c r="J646" s="8">
        <v>94100</v>
      </c>
      <c r="K646" s="9">
        <v>0.02</v>
      </c>
      <c r="L646" s="10">
        <v>461090</v>
      </c>
      <c r="M646" s="6">
        <v>275000</v>
      </c>
      <c r="N646" s="6">
        <v>186090</v>
      </c>
      <c r="O646" s="6" t="s">
        <v>24</v>
      </c>
      <c r="P646" s="6" t="s">
        <v>119</v>
      </c>
      <c r="Q646" s="6" t="s">
        <v>26</v>
      </c>
    </row>
    <row r="647" spans="1:17" x14ac:dyDescent="0.3">
      <c r="A647" s="6" t="s">
        <v>1178</v>
      </c>
      <c r="B647" s="7">
        <v>46057</v>
      </c>
      <c r="C647" s="6" t="s">
        <v>529</v>
      </c>
      <c r="D647" s="6" t="s">
        <v>530</v>
      </c>
      <c r="E647" s="6" t="s">
        <v>36</v>
      </c>
      <c r="F647" s="6" t="s">
        <v>36</v>
      </c>
      <c r="G647" s="6" t="s">
        <v>78</v>
      </c>
      <c r="H647" s="6" t="s">
        <v>318</v>
      </c>
      <c r="I647" s="6">
        <v>3</v>
      </c>
      <c r="J647" s="8">
        <v>79200</v>
      </c>
      <c r="K647" s="9">
        <v>0.05</v>
      </c>
      <c r="L647" s="10">
        <v>225720</v>
      </c>
      <c r="M647" s="6">
        <v>129000</v>
      </c>
      <c r="N647" s="6">
        <v>96720</v>
      </c>
      <c r="O647" s="6" t="s">
        <v>24</v>
      </c>
      <c r="P647" s="6" t="s">
        <v>119</v>
      </c>
      <c r="Q647" s="6" t="s">
        <v>26</v>
      </c>
    </row>
    <row r="648" spans="1:17" x14ac:dyDescent="0.3">
      <c r="A648" s="6" t="s">
        <v>1179</v>
      </c>
      <c r="B648" s="7">
        <v>46057</v>
      </c>
      <c r="C648" s="6" t="s">
        <v>217</v>
      </c>
      <c r="D648" s="6" t="s">
        <v>218</v>
      </c>
      <c r="E648" s="6" t="s">
        <v>20</v>
      </c>
      <c r="F648" s="6" t="s">
        <v>21</v>
      </c>
      <c r="G648" s="6" t="s">
        <v>22</v>
      </c>
      <c r="H648" s="6" t="s">
        <v>58</v>
      </c>
      <c r="I648" s="6">
        <v>6</v>
      </c>
      <c r="J648" s="8">
        <v>89700</v>
      </c>
      <c r="K648" s="9">
        <v>0.05</v>
      </c>
      <c r="L648" s="10">
        <v>511290</v>
      </c>
      <c r="M648" s="6">
        <v>330000</v>
      </c>
      <c r="N648" s="6">
        <v>181290</v>
      </c>
      <c r="O648" s="6" t="s">
        <v>24</v>
      </c>
      <c r="P648" s="6" t="s">
        <v>63</v>
      </c>
      <c r="Q648" s="6" t="s">
        <v>26</v>
      </c>
    </row>
    <row r="649" spans="1:17" x14ac:dyDescent="0.3">
      <c r="A649" s="6" t="s">
        <v>1180</v>
      </c>
      <c r="B649" s="7">
        <v>46058</v>
      </c>
      <c r="C649" s="6" t="s">
        <v>1136</v>
      </c>
      <c r="D649" s="6" t="s">
        <v>1137</v>
      </c>
      <c r="E649" s="6" t="s">
        <v>36</v>
      </c>
      <c r="F649" s="6" t="s">
        <v>36</v>
      </c>
      <c r="G649" s="6" t="s">
        <v>38</v>
      </c>
      <c r="H649" s="6" t="s">
        <v>127</v>
      </c>
      <c r="I649" s="6">
        <v>3</v>
      </c>
      <c r="J649" s="8">
        <v>240800</v>
      </c>
      <c r="K649" s="9">
        <v>0.05</v>
      </c>
      <c r="L649" s="10">
        <v>686280</v>
      </c>
      <c r="M649" s="6">
        <v>495000</v>
      </c>
      <c r="N649" s="6">
        <v>191280</v>
      </c>
      <c r="O649" s="6" t="s">
        <v>24</v>
      </c>
      <c r="P649" s="6" t="s">
        <v>54</v>
      </c>
      <c r="Q649" s="6" t="s">
        <v>26</v>
      </c>
    </row>
    <row r="650" spans="1:17" x14ac:dyDescent="0.3">
      <c r="A650" s="6" t="s">
        <v>1181</v>
      </c>
      <c r="B650" s="7">
        <v>46058</v>
      </c>
      <c r="C650" s="6" t="s">
        <v>533</v>
      </c>
      <c r="D650" s="6" t="s">
        <v>534</v>
      </c>
      <c r="E650" s="6" t="s">
        <v>20</v>
      </c>
      <c r="F650" s="6" t="s">
        <v>20</v>
      </c>
      <c r="G650" s="6" t="s">
        <v>38</v>
      </c>
      <c r="H650" s="6" t="s">
        <v>39</v>
      </c>
      <c r="I650" s="6">
        <v>6</v>
      </c>
      <c r="J650" s="8">
        <v>26300</v>
      </c>
      <c r="K650" s="9">
        <v>0.08</v>
      </c>
      <c r="L650" s="10">
        <v>145176</v>
      </c>
      <c r="M650" s="6">
        <v>90000</v>
      </c>
      <c r="N650" s="6">
        <v>55176</v>
      </c>
      <c r="O650" s="6" t="s">
        <v>68</v>
      </c>
      <c r="P650" s="6" t="s">
        <v>74</v>
      </c>
      <c r="Q650" s="6" t="s">
        <v>26</v>
      </c>
    </row>
    <row r="651" spans="1:17" x14ac:dyDescent="0.3">
      <c r="A651" s="6" t="s">
        <v>1182</v>
      </c>
      <c r="B651" s="7">
        <v>46059</v>
      </c>
      <c r="C651" s="6" t="s">
        <v>770</v>
      </c>
      <c r="D651" s="6" t="s">
        <v>771</v>
      </c>
      <c r="E651" s="6" t="s">
        <v>36</v>
      </c>
      <c r="F651" s="6" t="s">
        <v>155</v>
      </c>
      <c r="G651" s="6" t="s">
        <v>38</v>
      </c>
      <c r="H651" s="6" t="s">
        <v>127</v>
      </c>
      <c r="I651" s="6">
        <v>2</v>
      </c>
      <c r="J651" s="8">
        <v>256900</v>
      </c>
      <c r="K651" s="9">
        <v>0.1</v>
      </c>
      <c r="L651" s="10">
        <v>462420</v>
      </c>
      <c r="M651" s="6">
        <v>330000</v>
      </c>
      <c r="N651" s="6">
        <v>132420</v>
      </c>
      <c r="O651" s="6" t="s">
        <v>68</v>
      </c>
      <c r="P651" s="6" t="s">
        <v>25</v>
      </c>
      <c r="Q651" s="6" t="s">
        <v>26</v>
      </c>
    </row>
    <row r="652" spans="1:17" x14ac:dyDescent="0.3">
      <c r="A652" s="6" t="s">
        <v>1183</v>
      </c>
      <c r="B652" s="7">
        <v>46062</v>
      </c>
      <c r="C652" s="6" t="s">
        <v>971</v>
      </c>
      <c r="D652" s="6" t="s">
        <v>972</v>
      </c>
      <c r="E652" s="6" t="s">
        <v>67</v>
      </c>
      <c r="F652" s="6" t="s">
        <v>100</v>
      </c>
      <c r="G652" s="6" t="s">
        <v>38</v>
      </c>
      <c r="H652" s="6" t="s">
        <v>39</v>
      </c>
      <c r="I652" s="6">
        <v>2</v>
      </c>
      <c r="J652" s="8">
        <v>26700</v>
      </c>
      <c r="K652" s="9">
        <v>0.05</v>
      </c>
      <c r="L652" s="10">
        <v>50730</v>
      </c>
      <c r="M652" s="6">
        <v>30000</v>
      </c>
      <c r="N652" s="6">
        <v>20730</v>
      </c>
      <c r="O652" s="6" t="s">
        <v>104</v>
      </c>
      <c r="P652" s="6" t="s">
        <v>74</v>
      </c>
      <c r="Q652" s="6" t="s">
        <v>26</v>
      </c>
    </row>
    <row r="653" spans="1:17" x14ac:dyDescent="0.3">
      <c r="A653" s="6" t="s">
        <v>1184</v>
      </c>
      <c r="B653" s="7">
        <v>46062</v>
      </c>
      <c r="C653" s="6" t="s">
        <v>985</v>
      </c>
      <c r="D653" s="6" t="s">
        <v>986</v>
      </c>
      <c r="E653" s="6" t="s">
        <v>20</v>
      </c>
      <c r="F653" s="6" t="s">
        <v>62</v>
      </c>
      <c r="G653" s="6" t="s">
        <v>22</v>
      </c>
      <c r="H653" s="6" t="s">
        <v>49</v>
      </c>
      <c r="I653" s="6">
        <v>1</v>
      </c>
      <c r="J653" s="8">
        <v>1324000</v>
      </c>
      <c r="K653" s="9">
        <v>0.05</v>
      </c>
      <c r="L653" s="10">
        <v>1257800</v>
      </c>
      <c r="M653" s="6">
        <v>950000</v>
      </c>
      <c r="N653" s="6">
        <v>307800</v>
      </c>
      <c r="O653" s="6" t="s">
        <v>31</v>
      </c>
      <c r="P653" s="6" t="s">
        <v>90</v>
      </c>
      <c r="Q653" s="6" t="s">
        <v>26</v>
      </c>
    </row>
    <row r="654" spans="1:17" x14ac:dyDescent="0.3">
      <c r="A654" s="6" t="s">
        <v>1185</v>
      </c>
      <c r="B654" s="7">
        <v>46062</v>
      </c>
      <c r="C654" s="6" t="s">
        <v>716</v>
      </c>
      <c r="D654" s="6" t="s">
        <v>717</v>
      </c>
      <c r="E654" s="6" t="s">
        <v>20</v>
      </c>
      <c r="F654" s="6" t="s">
        <v>123</v>
      </c>
      <c r="G654" s="6" t="s">
        <v>38</v>
      </c>
      <c r="H654" s="6" t="s">
        <v>39</v>
      </c>
      <c r="I654" s="6">
        <v>2</v>
      </c>
      <c r="J654" s="8">
        <v>26600</v>
      </c>
      <c r="K654" s="9">
        <v>0.05</v>
      </c>
      <c r="L654" s="10">
        <v>50540</v>
      </c>
      <c r="M654" s="6">
        <v>30000</v>
      </c>
      <c r="N654" s="6">
        <v>20540</v>
      </c>
      <c r="O654" s="6" t="s">
        <v>68</v>
      </c>
      <c r="P654" s="6" t="s">
        <v>119</v>
      </c>
      <c r="Q654" s="6" t="s">
        <v>26</v>
      </c>
    </row>
    <row r="655" spans="1:17" x14ac:dyDescent="0.3">
      <c r="A655" s="6" t="s">
        <v>1186</v>
      </c>
      <c r="B655" s="7">
        <v>46062</v>
      </c>
      <c r="C655" s="6" t="s">
        <v>642</v>
      </c>
      <c r="D655" s="6" t="s">
        <v>643</v>
      </c>
      <c r="E655" s="6" t="s">
        <v>20</v>
      </c>
      <c r="F655" s="6" t="s">
        <v>62</v>
      </c>
      <c r="G655" s="6" t="s">
        <v>22</v>
      </c>
      <c r="H655" s="6" t="s">
        <v>83</v>
      </c>
      <c r="I655" s="6">
        <v>6</v>
      </c>
      <c r="J655" s="8">
        <v>606100</v>
      </c>
      <c r="K655" s="9">
        <v>0.08</v>
      </c>
      <c r="L655" s="10">
        <v>3345672</v>
      </c>
      <c r="M655" s="6">
        <v>2820000</v>
      </c>
      <c r="N655" s="6">
        <v>525672</v>
      </c>
      <c r="O655" s="6" t="s">
        <v>40</v>
      </c>
      <c r="P655" s="6" t="s">
        <v>90</v>
      </c>
      <c r="Q655" s="6" t="s">
        <v>26</v>
      </c>
    </row>
    <row r="656" spans="1:17" x14ac:dyDescent="0.3">
      <c r="A656" s="6" t="s">
        <v>1187</v>
      </c>
      <c r="B656" s="7">
        <v>46063</v>
      </c>
      <c r="C656" s="6" t="s">
        <v>418</v>
      </c>
      <c r="D656" s="6" t="s">
        <v>419</v>
      </c>
      <c r="E656" s="6" t="s">
        <v>36</v>
      </c>
      <c r="F656" s="6" t="s">
        <v>155</v>
      </c>
      <c r="G656" s="6" t="s">
        <v>38</v>
      </c>
      <c r="H656" s="6" t="s">
        <v>214</v>
      </c>
      <c r="I656" s="6">
        <v>6</v>
      </c>
      <c r="J656" s="8">
        <v>41800</v>
      </c>
      <c r="K656" s="9">
        <v>0.08</v>
      </c>
      <c r="L656" s="10">
        <v>230736</v>
      </c>
      <c r="M656" s="6">
        <v>156000</v>
      </c>
      <c r="N656" s="6">
        <v>74736</v>
      </c>
      <c r="O656" s="6" t="s">
        <v>104</v>
      </c>
      <c r="P656" s="6" t="s">
        <v>74</v>
      </c>
      <c r="Q656" s="6" t="s">
        <v>26</v>
      </c>
    </row>
    <row r="657" spans="1:17" x14ac:dyDescent="0.3">
      <c r="A657" s="6" t="s">
        <v>1188</v>
      </c>
      <c r="B657" s="7">
        <v>46065</v>
      </c>
      <c r="C657" s="6" t="s">
        <v>199</v>
      </c>
      <c r="D657" s="6" t="s">
        <v>200</v>
      </c>
      <c r="E657" s="6" t="s">
        <v>36</v>
      </c>
      <c r="F657" s="6" t="s">
        <v>37</v>
      </c>
      <c r="G657" s="6" t="s">
        <v>44</v>
      </c>
      <c r="H657" s="6" t="s">
        <v>89</v>
      </c>
      <c r="I657" s="6">
        <v>2</v>
      </c>
      <c r="J657" s="8">
        <v>167100</v>
      </c>
      <c r="K657" s="9">
        <v>0.1</v>
      </c>
      <c r="L657" s="10">
        <v>300780</v>
      </c>
      <c r="M657" s="6">
        <v>230000</v>
      </c>
      <c r="N657" s="6">
        <v>70780</v>
      </c>
      <c r="O657" s="6" t="s">
        <v>31</v>
      </c>
      <c r="P657" s="6" t="s">
        <v>32</v>
      </c>
      <c r="Q657" s="6" t="s">
        <v>26</v>
      </c>
    </row>
    <row r="658" spans="1:17" x14ac:dyDescent="0.3">
      <c r="A658" s="6" t="s">
        <v>1189</v>
      </c>
      <c r="B658" s="7">
        <v>46065</v>
      </c>
      <c r="C658" s="6" t="s">
        <v>471</v>
      </c>
      <c r="D658" s="6" t="s">
        <v>472</v>
      </c>
      <c r="E658" s="6" t="s">
        <v>87</v>
      </c>
      <c r="F658" s="6" t="s">
        <v>88</v>
      </c>
      <c r="G658" s="6" t="s">
        <v>22</v>
      </c>
      <c r="H658" s="6" t="s">
        <v>58</v>
      </c>
      <c r="I658" s="6">
        <v>5</v>
      </c>
      <c r="J658" s="8">
        <v>90400</v>
      </c>
      <c r="K658" s="9">
        <v>0</v>
      </c>
      <c r="L658" s="10">
        <v>452000</v>
      </c>
      <c r="M658" s="6">
        <v>275000</v>
      </c>
      <c r="N658" s="6">
        <v>177000</v>
      </c>
      <c r="O658" s="6" t="s">
        <v>24</v>
      </c>
      <c r="P658" s="6" t="s">
        <v>74</v>
      </c>
      <c r="Q658" s="6" t="s">
        <v>26</v>
      </c>
    </row>
    <row r="659" spans="1:17" x14ac:dyDescent="0.3">
      <c r="A659" s="6" t="s">
        <v>1190</v>
      </c>
      <c r="B659" s="7">
        <v>46066</v>
      </c>
      <c r="C659" s="6" t="s">
        <v>1191</v>
      </c>
      <c r="D659" s="6" t="s">
        <v>1192</v>
      </c>
      <c r="E659" s="6" t="s">
        <v>67</v>
      </c>
      <c r="F659" s="6" t="s">
        <v>100</v>
      </c>
      <c r="G659" s="6" t="s">
        <v>38</v>
      </c>
      <c r="H659" s="6" t="s">
        <v>39</v>
      </c>
      <c r="I659" s="6">
        <v>7</v>
      </c>
      <c r="J659" s="8">
        <v>28700</v>
      </c>
      <c r="K659" s="9">
        <v>0.02</v>
      </c>
      <c r="L659" s="10">
        <v>196882</v>
      </c>
      <c r="M659" s="6">
        <v>105000</v>
      </c>
      <c r="N659" s="6">
        <v>91882</v>
      </c>
      <c r="O659" s="6" t="s">
        <v>31</v>
      </c>
      <c r="P659" s="6" t="s">
        <v>25</v>
      </c>
      <c r="Q659" s="6" t="s">
        <v>26</v>
      </c>
    </row>
    <row r="660" spans="1:17" x14ac:dyDescent="0.3">
      <c r="A660" s="6" t="s">
        <v>1193</v>
      </c>
      <c r="B660" s="7">
        <v>46066</v>
      </c>
      <c r="C660" s="6" t="s">
        <v>442</v>
      </c>
      <c r="D660" s="6" t="s">
        <v>443</v>
      </c>
      <c r="E660" s="6" t="s">
        <v>36</v>
      </c>
      <c r="F660" s="6" t="s">
        <v>155</v>
      </c>
      <c r="G660" s="6" t="s">
        <v>44</v>
      </c>
      <c r="H660" s="6" t="s">
        <v>45</v>
      </c>
      <c r="I660" s="6">
        <v>3</v>
      </c>
      <c r="J660" s="8">
        <v>539500</v>
      </c>
      <c r="K660" s="9">
        <v>0.02</v>
      </c>
      <c r="L660" s="10">
        <v>1586130</v>
      </c>
      <c r="M660" s="6">
        <v>1095000</v>
      </c>
      <c r="N660" s="6">
        <v>491130</v>
      </c>
      <c r="O660" s="6" t="s">
        <v>104</v>
      </c>
      <c r="P660" s="6" t="s">
        <v>54</v>
      </c>
      <c r="Q660" s="6" t="s">
        <v>26</v>
      </c>
    </row>
    <row r="661" spans="1:17" x14ac:dyDescent="0.3">
      <c r="A661" s="6" t="s">
        <v>1194</v>
      </c>
      <c r="B661" s="7">
        <v>46067</v>
      </c>
      <c r="C661" s="6" t="s">
        <v>76</v>
      </c>
      <c r="D661" s="6" t="s">
        <v>77</v>
      </c>
      <c r="E661" s="6" t="s">
        <v>36</v>
      </c>
      <c r="F661" s="6" t="s">
        <v>36</v>
      </c>
      <c r="G661" s="6" t="s">
        <v>22</v>
      </c>
      <c r="H661" s="6" t="s">
        <v>23</v>
      </c>
      <c r="I661" s="6">
        <v>2</v>
      </c>
      <c r="J661" s="8">
        <v>421000</v>
      </c>
      <c r="K661" s="9">
        <v>0</v>
      </c>
      <c r="L661" s="10">
        <v>842000</v>
      </c>
      <c r="M661" s="6">
        <v>600000</v>
      </c>
      <c r="N661" s="6">
        <v>242000</v>
      </c>
      <c r="O661" s="6" t="s">
        <v>68</v>
      </c>
      <c r="P661" s="6" t="s">
        <v>54</v>
      </c>
      <c r="Q661" s="6" t="s">
        <v>26</v>
      </c>
    </row>
    <row r="662" spans="1:17" x14ac:dyDescent="0.3">
      <c r="A662" s="6" t="s">
        <v>1195</v>
      </c>
      <c r="B662" s="7">
        <v>46069</v>
      </c>
      <c r="C662" s="6" t="s">
        <v>637</v>
      </c>
      <c r="D662" s="6" t="s">
        <v>638</v>
      </c>
      <c r="E662" s="6" t="s">
        <v>20</v>
      </c>
      <c r="F662" s="6" t="s">
        <v>123</v>
      </c>
      <c r="G662" s="6" t="s">
        <v>44</v>
      </c>
      <c r="H662" s="6" t="s">
        <v>73</v>
      </c>
      <c r="I662" s="6">
        <v>1</v>
      </c>
      <c r="J662" s="8">
        <v>302500</v>
      </c>
      <c r="K662" s="9">
        <v>0.05</v>
      </c>
      <c r="L662" s="10">
        <v>287375</v>
      </c>
      <c r="M662" s="6">
        <v>210000</v>
      </c>
      <c r="N662" s="6">
        <v>77375</v>
      </c>
      <c r="O662" s="6" t="s">
        <v>68</v>
      </c>
      <c r="P662" s="6" t="s">
        <v>163</v>
      </c>
      <c r="Q662" s="6" t="s">
        <v>26</v>
      </c>
    </row>
    <row r="663" spans="1:17" x14ac:dyDescent="0.3">
      <c r="A663" s="6" t="s">
        <v>1196</v>
      </c>
      <c r="B663" s="7">
        <v>46069</v>
      </c>
      <c r="C663" s="6" t="s">
        <v>1197</v>
      </c>
      <c r="D663" s="6" t="s">
        <v>1198</v>
      </c>
      <c r="E663" s="6" t="s">
        <v>36</v>
      </c>
      <c r="F663" s="6" t="s">
        <v>36</v>
      </c>
      <c r="G663" s="6" t="s">
        <v>22</v>
      </c>
      <c r="H663" s="6" t="s">
        <v>83</v>
      </c>
      <c r="I663" s="6">
        <v>3</v>
      </c>
      <c r="J663" s="8">
        <v>634900</v>
      </c>
      <c r="K663" s="9">
        <v>0.15</v>
      </c>
      <c r="L663" s="10">
        <v>1618995</v>
      </c>
      <c r="M663" s="6">
        <v>1410000</v>
      </c>
      <c r="N663" s="6">
        <v>208995</v>
      </c>
      <c r="O663" s="6" t="s">
        <v>40</v>
      </c>
      <c r="P663" s="6" t="s">
        <v>25</v>
      </c>
      <c r="Q663" s="6" t="s">
        <v>26</v>
      </c>
    </row>
    <row r="664" spans="1:17" x14ac:dyDescent="0.3">
      <c r="A664" s="6" t="s">
        <v>1199</v>
      </c>
      <c r="B664" s="7">
        <v>46071</v>
      </c>
      <c r="C664" s="6" t="s">
        <v>399</v>
      </c>
      <c r="D664" s="6" t="s">
        <v>400</v>
      </c>
      <c r="E664" s="6" t="s">
        <v>87</v>
      </c>
      <c r="F664" s="6" t="s">
        <v>135</v>
      </c>
      <c r="G664" s="6" t="s">
        <v>38</v>
      </c>
      <c r="H664" s="6" t="s">
        <v>214</v>
      </c>
      <c r="I664" s="6">
        <v>6</v>
      </c>
      <c r="J664" s="8">
        <v>47700</v>
      </c>
      <c r="K664" s="9">
        <v>0.08</v>
      </c>
      <c r="L664" s="10">
        <v>263304</v>
      </c>
      <c r="M664" s="6">
        <v>156000</v>
      </c>
      <c r="N664" s="6">
        <v>107304</v>
      </c>
      <c r="O664" s="6" t="s">
        <v>24</v>
      </c>
      <c r="P664" s="6" t="s">
        <v>74</v>
      </c>
      <c r="Q664" s="6" t="s">
        <v>26</v>
      </c>
    </row>
    <row r="665" spans="1:17" x14ac:dyDescent="0.3">
      <c r="A665" s="6" t="s">
        <v>1200</v>
      </c>
      <c r="B665" s="7">
        <v>46072</v>
      </c>
      <c r="C665" s="6" t="s">
        <v>234</v>
      </c>
      <c r="D665" s="6" t="s">
        <v>235</v>
      </c>
      <c r="E665" s="6" t="s">
        <v>87</v>
      </c>
      <c r="F665" s="6" t="s">
        <v>131</v>
      </c>
      <c r="G665" s="6" t="s">
        <v>38</v>
      </c>
      <c r="H665" s="6" t="s">
        <v>127</v>
      </c>
      <c r="I665" s="6">
        <v>6</v>
      </c>
      <c r="J665" s="8">
        <v>242400</v>
      </c>
      <c r="K665" s="9">
        <v>0.05</v>
      </c>
      <c r="L665" s="10">
        <v>1381680</v>
      </c>
      <c r="M665" s="6">
        <v>990000</v>
      </c>
      <c r="N665" s="6">
        <v>391680</v>
      </c>
      <c r="O665" s="6" t="s">
        <v>104</v>
      </c>
      <c r="P665" s="6" t="s">
        <v>32</v>
      </c>
      <c r="Q665" s="6" t="s">
        <v>26</v>
      </c>
    </row>
    <row r="666" spans="1:17" x14ac:dyDescent="0.3">
      <c r="A666" s="6" t="s">
        <v>1201</v>
      </c>
      <c r="B666" s="7">
        <v>46072</v>
      </c>
      <c r="C666" s="6" t="s">
        <v>324</v>
      </c>
      <c r="D666" s="6" t="s">
        <v>325</v>
      </c>
      <c r="E666" s="6" t="s">
        <v>36</v>
      </c>
      <c r="F666" s="6" t="s">
        <v>36</v>
      </c>
      <c r="G666" s="6" t="s">
        <v>22</v>
      </c>
      <c r="H666" s="6" t="s">
        <v>23</v>
      </c>
      <c r="I666" s="6">
        <v>3</v>
      </c>
      <c r="J666" s="8">
        <v>398000</v>
      </c>
      <c r="K666" s="9">
        <v>0.05</v>
      </c>
      <c r="L666" s="10">
        <v>1134300</v>
      </c>
      <c r="M666" s="6">
        <v>900000</v>
      </c>
      <c r="N666" s="6">
        <v>234300</v>
      </c>
      <c r="O666" s="6" t="s">
        <v>104</v>
      </c>
      <c r="P666" s="6" t="s">
        <v>63</v>
      </c>
      <c r="Q666" s="6" t="s">
        <v>26</v>
      </c>
    </row>
    <row r="667" spans="1:17" x14ac:dyDescent="0.3">
      <c r="A667" s="6" t="s">
        <v>1202</v>
      </c>
      <c r="B667" s="7">
        <v>46072</v>
      </c>
      <c r="C667" s="6" t="s">
        <v>1108</v>
      </c>
      <c r="D667" s="6" t="s">
        <v>1109</v>
      </c>
      <c r="E667" s="6" t="s">
        <v>36</v>
      </c>
      <c r="F667" s="6" t="s">
        <v>155</v>
      </c>
      <c r="G667" s="6" t="s">
        <v>38</v>
      </c>
      <c r="H667" s="6" t="s">
        <v>127</v>
      </c>
      <c r="I667" s="6">
        <v>7</v>
      </c>
      <c r="J667" s="8">
        <v>223100</v>
      </c>
      <c r="K667" s="9">
        <v>0.1</v>
      </c>
      <c r="L667" s="10">
        <v>1405530</v>
      </c>
      <c r="M667" s="6">
        <v>1155000</v>
      </c>
      <c r="N667" s="6">
        <v>250530</v>
      </c>
      <c r="O667" s="6" t="s">
        <v>104</v>
      </c>
      <c r="P667" s="6" t="s">
        <v>119</v>
      </c>
      <c r="Q667" s="6" t="s">
        <v>26</v>
      </c>
    </row>
    <row r="668" spans="1:17" x14ac:dyDescent="0.3">
      <c r="A668" s="6" t="s">
        <v>1203</v>
      </c>
      <c r="B668" s="7">
        <v>46073</v>
      </c>
      <c r="C668" s="6" t="s">
        <v>359</v>
      </c>
      <c r="D668" s="6" t="s">
        <v>360</v>
      </c>
      <c r="E668" s="6" t="s">
        <v>87</v>
      </c>
      <c r="F668" s="6" t="s">
        <v>135</v>
      </c>
      <c r="G668" s="6" t="s">
        <v>78</v>
      </c>
      <c r="H668" s="6" t="s">
        <v>115</v>
      </c>
      <c r="I668" s="6">
        <v>5</v>
      </c>
      <c r="J668" s="8">
        <v>93800</v>
      </c>
      <c r="K668" s="9">
        <v>0.05</v>
      </c>
      <c r="L668" s="10">
        <v>445550</v>
      </c>
      <c r="M668" s="6">
        <v>290000</v>
      </c>
      <c r="N668" s="6">
        <v>155550</v>
      </c>
      <c r="O668" s="6" t="s">
        <v>40</v>
      </c>
      <c r="P668" s="6" t="s">
        <v>32</v>
      </c>
      <c r="Q668" s="6" t="s">
        <v>26</v>
      </c>
    </row>
    <row r="669" spans="1:17" x14ac:dyDescent="0.3">
      <c r="A669" s="6" t="s">
        <v>1204</v>
      </c>
      <c r="B669" s="7">
        <v>46073</v>
      </c>
      <c r="C669" s="6" t="s">
        <v>95</v>
      </c>
      <c r="D669" s="6" t="s">
        <v>96</v>
      </c>
      <c r="E669" s="6" t="s">
        <v>30</v>
      </c>
      <c r="F669" s="6" t="s">
        <v>30</v>
      </c>
      <c r="G669" s="6" t="s">
        <v>44</v>
      </c>
      <c r="H669" s="6" t="s">
        <v>73</v>
      </c>
      <c r="I669" s="6">
        <v>1</v>
      </c>
      <c r="J669" s="8">
        <v>308300</v>
      </c>
      <c r="K669" s="9">
        <v>0.1</v>
      </c>
      <c r="L669" s="10">
        <v>277470</v>
      </c>
      <c r="M669" s="6">
        <v>210000</v>
      </c>
      <c r="N669" s="6">
        <v>67470</v>
      </c>
      <c r="O669" s="6" t="s">
        <v>24</v>
      </c>
      <c r="P669" s="6" t="s">
        <v>63</v>
      </c>
      <c r="Q669" s="6" t="s">
        <v>26</v>
      </c>
    </row>
    <row r="670" spans="1:17" x14ac:dyDescent="0.3">
      <c r="A670" s="6" t="s">
        <v>1205</v>
      </c>
      <c r="B670" s="7">
        <v>46073</v>
      </c>
      <c r="C670" s="6" t="s">
        <v>461</v>
      </c>
      <c r="D670" s="6" t="s">
        <v>462</v>
      </c>
      <c r="E670" s="6" t="s">
        <v>36</v>
      </c>
      <c r="F670" s="6" t="s">
        <v>155</v>
      </c>
      <c r="G670" s="6" t="s">
        <v>44</v>
      </c>
      <c r="H670" s="6" t="s">
        <v>45</v>
      </c>
      <c r="I670" s="6">
        <v>1</v>
      </c>
      <c r="J670" s="8">
        <v>539000</v>
      </c>
      <c r="K670" s="9">
        <v>0.02</v>
      </c>
      <c r="L670" s="10">
        <v>528220</v>
      </c>
      <c r="M670" s="6">
        <v>365000</v>
      </c>
      <c r="N670" s="6">
        <v>163220</v>
      </c>
      <c r="O670" s="6" t="s">
        <v>104</v>
      </c>
      <c r="P670" s="6" t="s">
        <v>32</v>
      </c>
      <c r="Q670" s="6" t="s">
        <v>26</v>
      </c>
    </row>
    <row r="671" spans="1:17" x14ac:dyDescent="0.3">
      <c r="A671" s="6" t="s">
        <v>1206</v>
      </c>
      <c r="B671" s="7">
        <v>46075</v>
      </c>
      <c r="C671" s="6" t="s">
        <v>1207</v>
      </c>
      <c r="D671" s="6" t="s">
        <v>1208</v>
      </c>
      <c r="E671" s="6" t="s">
        <v>67</v>
      </c>
      <c r="F671" s="6" t="s">
        <v>236</v>
      </c>
      <c r="G671" s="6" t="s">
        <v>44</v>
      </c>
      <c r="H671" s="6" t="s">
        <v>73</v>
      </c>
      <c r="I671" s="6">
        <v>2</v>
      </c>
      <c r="J671" s="8">
        <v>300600</v>
      </c>
      <c r="K671" s="9">
        <v>0.15</v>
      </c>
      <c r="L671" s="10">
        <v>511020</v>
      </c>
      <c r="M671" s="6">
        <v>420000</v>
      </c>
      <c r="N671" s="6">
        <v>91020</v>
      </c>
      <c r="O671" s="6" t="s">
        <v>104</v>
      </c>
      <c r="P671" s="6" t="s">
        <v>119</v>
      </c>
      <c r="Q671" s="6" t="s">
        <v>26</v>
      </c>
    </row>
    <row r="672" spans="1:17" x14ac:dyDescent="0.3">
      <c r="A672" s="6" t="s">
        <v>1209</v>
      </c>
      <c r="B672" s="7">
        <v>46075</v>
      </c>
      <c r="C672" s="6" t="s">
        <v>384</v>
      </c>
      <c r="D672" s="6" t="s">
        <v>385</v>
      </c>
      <c r="E672" s="6" t="s">
        <v>36</v>
      </c>
      <c r="F672" s="6" t="s">
        <v>36</v>
      </c>
      <c r="G672" s="6" t="s">
        <v>78</v>
      </c>
      <c r="H672" s="6" t="s">
        <v>115</v>
      </c>
      <c r="I672" s="6">
        <v>4</v>
      </c>
      <c r="J672" s="8">
        <v>93300</v>
      </c>
      <c r="K672" s="9">
        <v>0.15</v>
      </c>
      <c r="L672" s="10">
        <v>317220</v>
      </c>
      <c r="M672" s="6">
        <v>232000</v>
      </c>
      <c r="N672" s="6">
        <v>85220</v>
      </c>
      <c r="O672" s="6" t="s">
        <v>40</v>
      </c>
      <c r="P672" s="6" t="s">
        <v>119</v>
      </c>
      <c r="Q672" s="6" t="s">
        <v>26</v>
      </c>
    </row>
    <row r="673" spans="1:17" x14ac:dyDescent="0.3">
      <c r="A673" s="6" t="s">
        <v>1210</v>
      </c>
      <c r="B673" s="7">
        <v>46077</v>
      </c>
      <c r="C673" s="6" t="s">
        <v>196</v>
      </c>
      <c r="D673" s="6" t="s">
        <v>197</v>
      </c>
      <c r="E673" s="6" t="s">
        <v>20</v>
      </c>
      <c r="F673" s="6" t="s">
        <v>20</v>
      </c>
      <c r="G673" s="6" t="s">
        <v>44</v>
      </c>
      <c r="H673" s="6" t="s">
        <v>45</v>
      </c>
      <c r="I673" s="6">
        <v>4</v>
      </c>
      <c r="J673" s="8">
        <v>521600</v>
      </c>
      <c r="K673" s="9">
        <v>0.05</v>
      </c>
      <c r="L673" s="10">
        <v>1982080</v>
      </c>
      <c r="M673" s="6">
        <v>1460000</v>
      </c>
      <c r="N673" s="6">
        <v>522080</v>
      </c>
      <c r="O673" s="6" t="s">
        <v>40</v>
      </c>
      <c r="P673" s="6" t="s">
        <v>25</v>
      </c>
      <c r="Q673" s="6" t="s">
        <v>26</v>
      </c>
    </row>
    <row r="674" spans="1:17" x14ac:dyDescent="0.3">
      <c r="A674" s="6" t="s">
        <v>1211</v>
      </c>
      <c r="B674" s="7">
        <v>46079</v>
      </c>
      <c r="C674" s="6" t="s">
        <v>573</v>
      </c>
      <c r="D674" s="6" t="s">
        <v>574</v>
      </c>
      <c r="E674" s="6" t="s">
        <v>30</v>
      </c>
      <c r="F674" s="6" t="s">
        <v>30</v>
      </c>
      <c r="G674" s="6" t="s">
        <v>44</v>
      </c>
      <c r="H674" s="6" t="s">
        <v>73</v>
      </c>
      <c r="I674" s="6">
        <v>7</v>
      </c>
      <c r="J674" s="8">
        <v>306600</v>
      </c>
      <c r="K674" s="9">
        <v>0</v>
      </c>
      <c r="L674" s="10">
        <v>2146200</v>
      </c>
      <c r="M674" s="6">
        <v>1470000</v>
      </c>
      <c r="N674" s="6">
        <v>676200</v>
      </c>
      <c r="O674" s="6" t="s">
        <v>68</v>
      </c>
      <c r="P674" s="6" t="s">
        <v>163</v>
      </c>
      <c r="Q674" s="6" t="s">
        <v>26</v>
      </c>
    </row>
    <row r="675" spans="1:17" x14ac:dyDescent="0.3">
      <c r="A675" s="6" t="s">
        <v>1212</v>
      </c>
      <c r="B675" s="7">
        <v>46079</v>
      </c>
      <c r="C675" s="6" t="s">
        <v>378</v>
      </c>
      <c r="D675" s="6" t="s">
        <v>379</v>
      </c>
      <c r="E675" s="6" t="s">
        <v>36</v>
      </c>
      <c r="F675" s="6" t="s">
        <v>37</v>
      </c>
      <c r="G675" s="6" t="s">
        <v>44</v>
      </c>
      <c r="H675" s="6" t="s">
        <v>73</v>
      </c>
      <c r="I675" s="6">
        <v>7</v>
      </c>
      <c r="J675" s="8">
        <v>313200</v>
      </c>
      <c r="K675" s="9">
        <v>0</v>
      </c>
      <c r="L675" s="10">
        <v>2192400</v>
      </c>
      <c r="M675" s="6">
        <v>1470000</v>
      </c>
      <c r="N675" s="6">
        <v>722400</v>
      </c>
      <c r="O675" s="6" t="s">
        <v>104</v>
      </c>
      <c r="P675" s="6" t="s">
        <v>63</v>
      </c>
      <c r="Q675" s="6" t="s">
        <v>26</v>
      </c>
    </row>
    <row r="676" spans="1:17" x14ac:dyDescent="0.3">
      <c r="A676" s="6" t="s">
        <v>1213</v>
      </c>
      <c r="B676" s="7">
        <v>46080</v>
      </c>
      <c r="C676" s="6" t="s">
        <v>550</v>
      </c>
      <c r="D676" s="6" t="s">
        <v>551</v>
      </c>
      <c r="E676" s="6" t="s">
        <v>36</v>
      </c>
      <c r="F676" s="6" t="s">
        <v>36</v>
      </c>
      <c r="G676" s="6" t="s">
        <v>22</v>
      </c>
      <c r="H676" s="6" t="s">
        <v>23</v>
      </c>
      <c r="I676" s="6">
        <v>5</v>
      </c>
      <c r="J676" s="8">
        <v>432700</v>
      </c>
      <c r="K676" s="9">
        <v>0.05</v>
      </c>
      <c r="L676" s="10">
        <v>-2055325</v>
      </c>
      <c r="M676" s="6">
        <v>-1500000</v>
      </c>
      <c r="N676" s="6">
        <v>-555325</v>
      </c>
      <c r="O676" s="6" t="s">
        <v>31</v>
      </c>
      <c r="P676" s="6" t="s">
        <v>63</v>
      </c>
      <c r="Q676" s="6" t="s">
        <v>105</v>
      </c>
    </row>
    <row r="677" spans="1:17" x14ac:dyDescent="0.3">
      <c r="A677" s="6" t="s">
        <v>1214</v>
      </c>
      <c r="B677" s="7">
        <v>46081</v>
      </c>
      <c r="C677" s="6" t="s">
        <v>418</v>
      </c>
      <c r="D677" s="6" t="s">
        <v>419</v>
      </c>
      <c r="E677" s="6" t="s">
        <v>36</v>
      </c>
      <c r="F677" s="6" t="s">
        <v>36</v>
      </c>
      <c r="G677" s="6" t="s">
        <v>22</v>
      </c>
      <c r="H677" s="6" t="s">
        <v>58</v>
      </c>
      <c r="I677" s="6">
        <v>6</v>
      </c>
      <c r="J677" s="8">
        <v>92300</v>
      </c>
      <c r="K677" s="9">
        <v>0</v>
      </c>
      <c r="L677" s="10">
        <v>553800</v>
      </c>
      <c r="M677" s="6">
        <v>330000</v>
      </c>
      <c r="N677" s="6">
        <v>223800</v>
      </c>
      <c r="O677" s="6" t="s">
        <v>104</v>
      </c>
      <c r="P677" s="6" t="s">
        <v>90</v>
      </c>
      <c r="Q677" s="6" t="s">
        <v>26</v>
      </c>
    </row>
    <row r="678" spans="1:17" x14ac:dyDescent="0.3">
      <c r="A678" s="6" t="s">
        <v>1215</v>
      </c>
      <c r="B678" s="7">
        <v>46081</v>
      </c>
      <c r="C678" s="6" t="s">
        <v>290</v>
      </c>
      <c r="D678" s="6" t="s">
        <v>291</v>
      </c>
      <c r="E678" s="6" t="s">
        <v>20</v>
      </c>
      <c r="F678" s="6" t="s">
        <v>123</v>
      </c>
      <c r="G678" s="6" t="s">
        <v>38</v>
      </c>
      <c r="H678" s="6" t="s">
        <v>214</v>
      </c>
      <c r="I678" s="6">
        <v>3</v>
      </c>
      <c r="J678" s="8">
        <v>44100</v>
      </c>
      <c r="K678" s="9">
        <v>0.02</v>
      </c>
      <c r="L678" s="10">
        <v>129654</v>
      </c>
      <c r="M678" s="6">
        <v>78000</v>
      </c>
      <c r="N678" s="6">
        <v>51654</v>
      </c>
      <c r="O678" s="6" t="s">
        <v>104</v>
      </c>
      <c r="P678" s="6" t="s">
        <v>90</v>
      </c>
      <c r="Q678" s="6" t="s">
        <v>26</v>
      </c>
    </row>
    <row r="679" spans="1:17" x14ac:dyDescent="0.3">
      <c r="A679" s="6" t="s">
        <v>1216</v>
      </c>
      <c r="B679" s="7">
        <v>46081</v>
      </c>
      <c r="C679" s="6" t="s">
        <v>845</v>
      </c>
      <c r="D679" s="6" t="s">
        <v>846</v>
      </c>
      <c r="E679" s="6" t="s">
        <v>87</v>
      </c>
      <c r="F679" s="6" t="s">
        <v>88</v>
      </c>
      <c r="G679" s="6" t="s">
        <v>22</v>
      </c>
      <c r="H679" s="6" t="s">
        <v>58</v>
      </c>
      <c r="I679" s="6">
        <v>2</v>
      </c>
      <c r="J679" s="8">
        <v>102500</v>
      </c>
      <c r="K679" s="9">
        <v>0.05</v>
      </c>
      <c r="L679" s="10">
        <v>194750</v>
      </c>
      <c r="M679" s="6">
        <v>110000</v>
      </c>
      <c r="N679" s="6">
        <v>84750</v>
      </c>
      <c r="O679" s="6" t="s">
        <v>40</v>
      </c>
      <c r="P679" s="6" t="s">
        <v>54</v>
      </c>
      <c r="Q679" s="6" t="s">
        <v>26</v>
      </c>
    </row>
    <row r="680" spans="1:17" x14ac:dyDescent="0.3">
      <c r="A680" s="6" t="s">
        <v>1217</v>
      </c>
      <c r="B680" s="7">
        <v>46083</v>
      </c>
      <c r="C680" s="6" t="s">
        <v>92</v>
      </c>
      <c r="D680" s="6" t="s">
        <v>93</v>
      </c>
      <c r="E680" s="6" t="s">
        <v>87</v>
      </c>
      <c r="F680" s="6" t="s">
        <v>135</v>
      </c>
      <c r="G680" s="6" t="s">
        <v>38</v>
      </c>
      <c r="H680" s="6" t="s">
        <v>214</v>
      </c>
      <c r="I680" s="6">
        <v>1</v>
      </c>
      <c r="J680" s="8">
        <v>41500</v>
      </c>
      <c r="K680" s="9">
        <v>0.02</v>
      </c>
      <c r="L680" s="10">
        <v>40670</v>
      </c>
      <c r="M680" s="6">
        <v>26000</v>
      </c>
      <c r="N680" s="6">
        <v>14670</v>
      </c>
      <c r="O680" s="6" t="s">
        <v>31</v>
      </c>
      <c r="P680" s="6" t="s">
        <v>63</v>
      </c>
      <c r="Q680" s="6" t="s">
        <v>26</v>
      </c>
    </row>
    <row r="681" spans="1:17" x14ac:dyDescent="0.3">
      <c r="A681" s="6" t="s">
        <v>1218</v>
      </c>
      <c r="B681" s="7">
        <v>46083</v>
      </c>
      <c r="C681" s="6" t="s">
        <v>321</v>
      </c>
      <c r="D681" s="6" t="s">
        <v>322</v>
      </c>
      <c r="E681" s="6" t="s">
        <v>30</v>
      </c>
      <c r="F681" s="6" t="s">
        <v>30</v>
      </c>
      <c r="G681" s="6" t="s">
        <v>78</v>
      </c>
      <c r="H681" s="6" t="s">
        <v>318</v>
      </c>
      <c r="I681" s="6">
        <v>1</v>
      </c>
      <c r="J681" s="8">
        <v>72700</v>
      </c>
      <c r="K681" s="9">
        <v>0.08</v>
      </c>
      <c r="L681" s="10">
        <v>66884</v>
      </c>
      <c r="M681" s="6">
        <v>43000</v>
      </c>
      <c r="N681" s="6">
        <v>23884</v>
      </c>
      <c r="O681" s="6" t="s">
        <v>24</v>
      </c>
      <c r="P681" s="6" t="s">
        <v>32</v>
      </c>
      <c r="Q681" s="6" t="s">
        <v>26</v>
      </c>
    </row>
    <row r="682" spans="1:17" x14ac:dyDescent="0.3">
      <c r="A682" s="6" t="s">
        <v>1219</v>
      </c>
      <c r="B682" s="7">
        <v>46083</v>
      </c>
      <c r="C682" s="6" t="s">
        <v>512</v>
      </c>
      <c r="D682" s="6" t="s">
        <v>513</v>
      </c>
      <c r="E682" s="6" t="s">
        <v>20</v>
      </c>
      <c r="F682" s="6" t="s">
        <v>123</v>
      </c>
      <c r="G682" s="6" t="s">
        <v>78</v>
      </c>
      <c r="H682" s="6" t="s">
        <v>188</v>
      </c>
      <c r="I682" s="6">
        <v>7</v>
      </c>
      <c r="J682" s="8">
        <v>83000</v>
      </c>
      <c r="K682" s="9">
        <v>0.05</v>
      </c>
      <c r="L682" s="10">
        <v>551950</v>
      </c>
      <c r="M682" s="6">
        <v>364000</v>
      </c>
      <c r="N682" s="6">
        <v>187950</v>
      </c>
      <c r="O682" s="6" t="s">
        <v>24</v>
      </c>
      <c r="P682" s="6" t="s">
        <v>119</v>
      </c>
      <c r="Q682" s="6" t="s">
        <v>26</v>
      </c>
    </row>
    <row r="683" spans="1:17" x14ac:dyDescent="0.3">
      <c r="A683" s="6" t="s">
        <v>1220</v>
      </c>
      <c r="B683" s="7">
        <v>46084</v>
      </c>
      <c r="C683" s="6" t="s">
        <v>1077</v>
      </c>
      <c r="D683" s="6" t="s">
        <v>1078</v>
      </c>
      <c r="E683" s="6" t="s">
        <v>36</v>
      </c>
      <c r="F683" s="6" t="s">
        <v>155</v>
      </c>
      <c r="G683" s="6" t="s">
        <v>44</v>
      </c>
      <c r="H683" s="6" t="s">
        <v>45</v>
      </c>
      <c r="I683" s="6">
        <v>7</v>
      </c>
      <c r="J683" s="8">
        <v>538500</v>
      </c>
      <c r="K683" s="9">
        <v>0</v>
      </c>
      <c r="L683" s="10">
        <v>3769500</v>
      </c>
      <c r="M683" s="6">
        <v>2555000</v>
      </c>
      <c r="N683" s="6">
        <v>1214500</v>
      </c>
      <c r="O683" s="6" t="s">
        <v>31</v>
      </c>
      <c r="P683" s="6" t="s">
        <v>163</v>
      </c>
      <c r="Q683" s="6" t="s">
        <v>26</v>
      </c>
    </row>
    <row r="684" spans="1:17" x14ac:dyDescent="0.3">
      <c r="A684" s="6" t="s">
        <v>1221</v>
      </c>
      <c r="B684" s="7">
        <v>46084</v>
      </c>
      <c r="C684" s="6" t="s">
        <v>259</v>
      </c>
      <c r="D684" s="6" t="s">
        <v>260</v>
      </c>
      <c r="E684" s="6" t="s">
        <v>30</v>
      </c>
      <c r="F684" s="6" t="s">
        <v>159</v>
      </c>
      <c r="G684" s="6" t="s">
        <v>78</v>
      </c>
      <c r="H684" s="6" t="s">
        <v>188</v>
      </c>
      <c r="I684" s="6">
        <v>6</v>
      </c>
      <c r="J684" s="8">
        <v>89800</v>
      </c>
      <c r="K684" s="9">
        <v>0.05</v>
      </c>
      <c r="L684" s="10">
        <v>511860</v>
      </c>
      <c r="M684" s="6">
        <v>312000</v>
      </c>
      <c r="N684" s="6">
        <v>199860</v>
      </c>
      <c r="O684" s="6" t="s">
        <v>24</v>
      </c>
      <c r="P684" s="6" t="s">
        <v>54</v>
      </c>
      <c r="Q684" s="6" t="s">
        <v>26</v>
      </c>
    </row>
    <row r="685" spans="1:17" x14ac:dyDescent="0.3">
      <c r="A685" s="6" t="s">
        <v>1222</v>
      </c>
      <c r="B685" s="7">
        <v>46084</v>
      </c>
      <c r="C685" s="6" t="s">
        <v>1080</v>
      </c>
      <c r="D685" s="6" t="s">
        <v>1081</v>
      </c>
      <c r="E685" s="6" t="s">
        <v>30</v>
      </c>
      <c r="F685" s="6" t="s">
        <v>30</v>
      </c>
      <c r="G685" s="6" t="s">
        <v>78</v>
      </c>
      <c r="H685" s="6" t="s">
        <v>79</v>
      </c>
      <c r="I685" s="6">
        <v>3</v>
      </c>
      <c r="J685" s="8">
        <v>29700</v>
      </c>
      <c r="K685" s="9">
        <v>0.15</v>
      </c>
      <c r="L685" s="10">
        <v>75735</v>
      </c>
      <c r="M685" s="6">
        <v>54000</v>
      </c>
      <c r="N685" s="6">
        <v>21735</v>
      </c>
      <c r="O685" s="6" t="s">
        <v>40</v>
      </c>
      <c r="P685" s="6" t="s">
        <v>119</v>
      </c>
      <c r="Q685" s="6" t="s">
        <v>26</v>
      </c>
    </row>
    <row r="686" spans="1:17" x14ac:dyDescent="0.3">
      <c r="A686" s="6" t="s">
        <v>1223</v>
      </c>
      <c r="B686" s="7">
        <v>46086</v>
      </c>
      <c r="C686" s="6" t="s">
        <v>296</v>
      </c>
      <c r="D686" s="6" t="s">
        <v>297</v>
      </c>
      <c r="E686" s="6" t="s">
        <v>20</v>
      </c>
      <c r="F686" s="6" t="s">
        <v>62</v>
      </c>
      <c r="G686" s="6" t="s">
        <v>38</v>
      </c>
      <c r="H686" s="6" t="s">
        <v>214</v>
      </c>
      <c r="I686" s="6">
        <v>6</v>
      </c>
      <c r="J686" s="8">
        <v>42400</v>
      </c>
      <c r="K686" s="9">
        <v>0</v>
      </c>
      <c r="L686" s="10">
        <v>254400</v>
      </c>
      <c r="M686" s="6">
        <v>156000</v>
      </c>
      <c r="N686" s="6">
        <v>98400</v>
      </c>
      <c r="O686" s="6" t="s">
        <v>31</v>
      </c>
      <c r="P686" s="6" t="s">
        <v>25</v>
      </c>
      <c r="Q686" s="6" t="s">
        <v>26</v>
      </c>
    </row>
    <row r="687" spans="1:17" x14ac:dyDescent="0.3">
      <c r="A687" s="6" t="s">
        <v>1224</v>
      </c>
      <c r="B687" s="7">
        <v>46088</v>
      </c>
      <c r="C687" s="6" t="s">
        <v>434</v>
      </c>
      <c r="D687" s="6" t="s">
        <v>435</v>
      </c>
      <c r="E687" s="6" t="s">
        <v>20</v>
      </c>
      <c r="F687" s="6" t="s">
        <v>62</v>
      </c>
      <c r="G687" s="6" t="s">
        <v>38</v>
      </c>
      <c r="H687" s="6" t="s">
        <v>127</v>
      </c>
      <c r="I687" s="6">
        <v>2</v>
      </c>
      <c r="J687" s="8">
        <v>246200</v>
      </c>
      <c r="K687" s="9">
        <v>0.02</v>
      </c>
      <c r="L687" s="10">
        <v>482552</v>
      </c>
      <c r="M687" s="6">
        <v>330000</v>
      </c>
      <c r="N687" s="6">
        <v>152552</v>
      </c>
      <c r="O687" s="6" t="s">
        <v>68</v>
      </c>
      <c r="P687" s="6" t="s">
        <v>63</v>
      </c>
      <c r="Q687" s="6" t="s">
        <v>26</v>
      </c>
    </row>
    <row r="688" spans="1:17" x14ac:dyDescent="0.3">
      <c r="A688" s="6" t="s">
        <v>1225</v>
      </c>
      <c r="B688" s="7">
        <v>46088</v>
      </c>
      <c r="C688" s="6" t="s">
        <v>71</v>
      </c>
      <c r="D688" s="6" t="s">
        <v>72</v>
      </c>
      <c r="E688" s="6" t="s">
        <v>87</v>
      </c>
      <c r="F688" s="6" t="s">
        <v>88</v>
      </c>
      <c r="G688" s="6" t="s">
        <v>78</v>
      </c>
      <c r="H688" s="6" t="s">
        <v>188</v>
      </c>
      <c r="I688" s="6">
        <v>7</v>
      </c>
      <c r="J688" s="8">
        <v>78600</v>
      </c>
      <c r="K688" s="9">
        <v>0</v>
      </c>
      <c r="L688" s="10">
        <v>550200</v>
      </c>
      <c r="M688" s="6">
        <v>364000</v>
      </c>
      <c r="N688" s="6">
        <v>186200</v>
      </c>
      <c r="O688" s="6" t="s">
        <v>31</v>
      </c>
      <c r="P688" s="6" t="s">
        <v>119</v>
      </c>
      <c r="Q688" s="6" t="s">
        <v>26</v>
      </c>
    </row>
    <row r="689" spans="1:17" x14ac:dyDescent="0.3">
      <c r="A689" s="6" t="s">
        <v>1226</v>
      </c>
      <c r="B689" s="7">
        <v>46089</v>
      </c>
      <c r="C689" s="6" t="s">
        <v>1136</v>
      </c>
      <c r="D689" s="6" t="s">
        <v>1137</v>
      </c>
      <c r="E689" s="6" t="s">
        <v>20</v>
      </c>
      <c r="F689" s="6" t="s">
        <v>62</v>
      </c>
      <c r="G689" s="6" t="s">
        <v>38</v>
      </c>
      <c r="H689" s="6" t="s">
        <v>53</v>
      </c>
      <c r="I689" s="6">
        <v>7</v>
      </c>
      <c r="J689" s="8">
        <v>365100</v>
      </c>
      <c r="K689" s="9">
        <v>0</v>
      </c>
      <c r="L689" s="10">
        <v>2555700</v>
      </c>
      <c r="M689" s="6">
        <v>1960000</v>
      </c>
      <c r="N689" s="6">
        <v>595700</v>
      </c>
      <c r="O689" s="6" t="s">
        <v>31</v>
      </c>
      <c r="P689" s="6" t="s">
        <v>25</v>
      </c>
      <c r="Q689" s="6" t="s">
        <v>26</v>
      </c>
    </row>
    <row r="690" spans="1:17" x14ac:dyDescent="0.3">
      <c r="A690" s="6" t="s">
        <v>1227</v>
      </c>
      <c r="B690" s="7">
        <v>46089</v>
      </c>
      <c r="C690" s="6" t="s">
        <v>627</v>
      </c>
      <c r="D690" s="6" t="s">
        <v>628</v>
      </c>
      <c r="E690" s="6" t="s">
        <v>20</v>
      </c>
      <c r="F690" s="6" t="s">
        <v>123</v>
      </c>
      <c r="G690" s="6" t="s">
        <v>22</v>
      </c>
      <c r="H690" s="6" t="s">
        <v>83</v>
      </c>
      <c r="I690" s="6">
        <v>2</v>
      </c>
      <c r="J690" s="8">
        <v>657600</v>
      </c>
      <c r="K690" s="9">
        <v>0.08</v>
      </c>
      <c r="L690" s="10">
        <v>1209984</v>
      </c>
      <c r="M690" s="6">
        <v>940000</v>
      </c>
      <c r="N690" s="6">
        <v>269984</v>
      </c>
      <c r="O690" s="6" t="s">
        <v>31</v>
      </c>
      <c r="P690" s="6" t="s">
        <v>54</v>
      </c>
      <c r="Q690" s="6" t="s">
        <v>26</v>
      </c>
    </row>
    <row r="691" spans="1:17" x14ac:dyDescent="0.3">
      <c r="A691" s="6" t="s">
        <v>1228</v>
      </c>
      <c r="B691" s="7">
        <v>46089</v>
      </c>
      <c r="C691" s="6" t="s">
        <v>274</v>
      </c>
      <c r="D691" s="6" t="s">
        <v>275</v>
      </c>
      <c r="E691" s="6" t="s">
        <v>20</v>
      </c>
      <c r="F691" s="6" t="s">
        <v>123</v>
      </c>
      <c r="G691" s="6" t="s">
        <v>38</v>
      </c>
      <c r="H691" s="6" t="s">
        <v>127</v>
      </c>
      <c r="I691" s="6">
        <v>3</v>
      </c>
      <c r="J691" s="8">
        <v>229700</v>
      </c>
      <c r="K691" s="9">
        <v>0.02</v>
      </c>
      <c r="L691" s="10">
        <v>675318</v>
      </c>
      <c r="M691" s="6">
        <v>495000</v>
      </c>
      <c r="N691" s="6">
        <v>180318</v>
      </c>
      <c r="O691" s="6" t="s">
        <v>40</v>
      </c>
      <c r="P691" s="6" t="s">
        <v>32</v>
      </c>
      <c r="Q691" s="6" t="s">
        <v>26</v>
      </c>
    </row>
    <row r="692" spans="1:17" x14ac:dyDescent="0.3">
      <c r="A692" s="6" t="s">
        <v>1229</v>
      </c>
      <c r="B692" s="7">
        <v>46090</v>
      </c>
      <c r="C692" s="6" t="s">
        <v>521</v>
      </c>
      <c r="D692" s="6" t="s">
        <v>522</v>
      </c>
      <c r="E692" s="6" t="s">
        <v>30</v>
      </c>
      <c r="F692" s="6" t="s">
        <v>222</v>
      </c>
      <c r="G692" s="6" t="s">
        <v>22</v>
      </c>
      <c r="H692" s="6" t="s">
        <v>23</v>
      </c>
      <c r="I692" s="6">
        <v>6</v>
      </c>
      <c r="J692" s="8">
        <v>398600</v>
      </c>
      <c r="K692" s="9">
        <v>0.05</v>
      </c>
      <c r="L692" s="10">
        <v>2272020</v>
      </c>
      <c r="M692" s="6">
        <v>1800000</v>
      </c>
      <c r="N692" s="6">
        <v>472020</v>
      </c>
      <c r="O692" s="6" t="s">
        <v>104</v>
      </c>
      <c r="P692" s="6" t="s">
        <v>25</v>
      </c>
      <c r="Q692" s="6" t="s">
        <v>26</v>
      </c>
    </row>
    <row r="693" spans="1:17" x14ac:dyDescent="0.3">
      <c r="A693" s="6" t="s">
        <v>1230</v>
      </c>
      <c r="B693" s="7">
        <v>46090</v>
      </c>
      <c r="C693" s="6" t="s">
        <v>393</v>
      </c>
      <c r="D693" s="6" t="s">
        <v>394</v>
      </c>
      <c r="E693" s="6" t="s">
        <v>67</v>
      </c>
      <c r="F693" s="6" t="s">
        <v>236</v>
      </c>
      <c r="G693" s="6" t="s">
        <v>22</v>
      </c>
      <c r="H693" s="6" t="s">
        <v>58</v>
      </c>
      <c r="I693" s="6">
        <v>7</v>
      </c>
      <c r="J693" s="8">
        <v>91700</v>
      </c>
      <c r="K693" s="9">
        <v>0.02</v>
      </c>
      <c r="L693" s="10">
        <v>629062</v>
      </c>
      <c r="M693" s="6">
        <v>385000</v>
      </c>
      <c r="N693" s="6">
        <v>244062</v>
      </c>
      <c r="O693" s="6" t="s">
        <v>68</v>
      </c>
      <c r="P693" s="6" t="s">
        <v>25</v>
      </c>
      <c r="Q693" s="6" t="s">
        <v>26</v>
      </c>
    </row>
    <row r="694" spans="1:17" x14ac:dyDescent="0.3">
      <c r="A694" s="6" t="s">
        <v>1231</v>
      </c>
      <c r="B694" s="7">
        <v>46090</v>
      </c>
      <c r="C694" s="6" t="s">
        <v>475</v>
      </c>
      <c r="D694" s="6" t="s">
        <v>476</v>
      </c>
      <c r="E694" s="6" t="s">
        <v>20</v>
      </c>
      <c r="F694" s="6" t="s">
        <v>62</v>
      </c>
      <c r="G694" s="6" t="s">
        <v>22</v>
      </c>
      <c r="H694" s="6" t="s">
        <v>83</v>
      </c>
      <c r="I694" s="6">
        <v>4</v>
      </c>
      <c r="J694" s="8">
        <v>673800</v>
      </c>
      <c r="K694" s="9">
        <v>0.15</v>
      </c>
      <c r="L694" s="10">
        <v>2290920</v>
      </c>
      <c r="M694" s="6">
        <v>1880000</v>
      </c>
      <c r="N694" s="6">
        <v>410920</v>
      </c>
      <c r="O694" s="6" t="s">
        <v>24</v>
      </c>
      <c r="P694" s="6" t="s">
        <v>74</v>
      </c>
      <c r="Q694" s="6" t="s">
        <v>26</v>
      </c>
    </row>
    <row r="695" spans="1:17" x14ac:dyDescent="0.3">
      <c r="A695" s="6" t="s">
        <v>1232</v>
      </c>
      <c r="B695" s="7">
        <v>46091</v>
      </c>
      <c r="C695" s="6" t="s">
        <v>129</v>
      </c>
      <c r="D695" s="6" t="s">
        <v>130</v>
      </c>
      <c r="E695" s="6" t="s">
        <v>67</v>
      </c>
      <c r="F695" s="6" t="s">
        <v>67</v>
      </c>
      <c r="G695" s="6" t="s">
        <v>38</v>
      </c>
      <c r="H695" s="6" t="s">
        <v>53</v>
      </c>
      <c r="I695" s="6">
        <v>2</v>
      </c>
      <c r="J695" s="8">
        <v>358800</v>
      </c>
      <c r="K695" s="9">
        <v>0.05</v>
      </c>
      <c r="L695" s="10">
        <v>681720</v>
      </c>
      <c r="M695" s="6">
        <v>560000</v>
      </c>
      <c r="N695" s="6">
        <v>121720</v>
      </c>
      <c r="O695" s="6" t="s">
        <v>104</v>
      </c>
      <c r="P695" s="6" t="s">
        <v>54</v>
      </c>
      <c r="Q695" s="6" t="s">
        <v>26</v>
      </c>
    </row>
    <row r="696" spans="1:17" x14ac:dyDescent="0.3">
      <c r="A696" s="6" t="s">
        <v>1233</v>
      </c>
      <c r="B696" s="7">
        <v>46092</v>
      </c>
      <c r="C696" s="6" t="s">
        <v>622</v>
      </c>
      <c r="D696" s="6" t="s">
        <v>623</v>
      </c>
      <c r="E696" s="6" t="s">
        <v>36</v>
      </c>
      <c r="F696" s="6" t="s">
        <v>37</v>
      </c>
      <c r="G696" s="6" t="s">
        <v>44</v>
      </c>
      <c r="H696" s="6" t="s">
        <v>89</v>
      </c>
      <c r="I696" s="6">
        <v>1</v>
      </c>
      <c r="J696" s="8">
        <v>179400</v>
      </c>
      <c r="K696" s="9">
        <v>0</v>
      </c>
      <c r="L696" s="10">
        <v>179400</v>
      </c>
      <c r="M696" s="6">
        <v>115000</v>
      </c>
      <c r="N696" s="6">
        <v>64400</v>
      </c>
      <c r="O696" s="6" t="s">
        <v>68</v>
      </c>
      <c r="P696" s="6" t="s">
        <v>32</v>
      </c>
      <c r="Q696" s="6" t="s">
        <v>26</v>
      </c>
    </row>
    <row r="697" spans="1:17" x14ac:dyDescent="0.3">
      <c r="A697" s="6" t="s">
        <v>1234</v>
      </c>
      <c r="B697" s="7">
        <v>46092</v>
      </c>
      <c r="C697" s="6" t="s">
        <v>658</v>
      </c>
      <c r="D697" s="6" t="s">
        <v>659</v>
      </c>
      <c r="E697" s="6" t="s">
        <v>20</v>
      </c>
      <c r="F697" s="6" t="s">
        <v>21</v>
      </c>
      <c r="G697" s="6" t="s">
        <v>22</v>
      </c>
      <c r="H697" s="6" t="s">
        <v>83</v>
      </c>
      <c r="I697" s="6">
        <v>6</v>
      </c>
      <c r="J697" s="8">
        <v>638500</v>
      </c>
      <c r="K697" s="9">
        <v>0.05</v>
      </c>
      <c r="L697" s="10">
        <v>0</v>
      </c>
      <c r="M697" s="6">
        <v>0</v>
      </c>
      <c r="N697" s="6">
        <v>0</v>
      </c>
      <c r="O697" s="6" t="s">
        <v>24</v>
      </c>
      <c r="P697" s="6" t="s">
        <v>90</v>
      </c>
      <c r="Q697" s="6" t="s">
        <v>69</v>
      </c>
    </row>
    <row r="698" spans="1:17" x14ac:dyDescent="0.3">
      <c r="A698" s="6" t="s">
        <v>1235</v>
      </c>
      <c r="B698" s="7">
        <v>46093</v>
      </c>
      <c r="C698" s="6" t="s">
        <v>834</v>
      </c>
      <c r="D698" s="6" t="s">
        <v>835</v>
      </c>
      <c r="E698" s="6" t="s">
        <v>20</v>
      </c>
      <c r="F698" s="6" t="s">
        <v>20</v>
      </c>
      <c r="G698" s="6" t="s">
        <v>22</v>
      </c>
      <c r="H698" s="6" t="s">
        <v>83</v>
      </c>
      <c r="I698" s="6">
        <v>2</v>
      </c>
      <c r="J698" s="8">
        <v>645600</v>
      </c>
      <c r="K698" s="9">
        <v>0.05</v>
      </c>
      <c r="L698" s="10">
        <v>-1226640</v>
      </c>
      <c r="M698" s="6">
        <v>-940000</v>
      </c>
      <c r="N698" s="6">
        <v>-286640</v>
      </c>
      <c r="O698" s="6" t="s">
        <v>31</v>
      </c>
      <c r="P698" s="6" t="s">
        <v>163</v>
      </c>
      <c r="Q698" s="6" t="s">
        <v>105</v>
      </c>
    </row>
    <row r="699" spans="1:17" x14ac:dyDescent="0.3">
      <c r="A699" s="6" t="s">
        <v>1236</v>
      </c>
      <c r="B699" s="7">
        <v>46093</v>
      </c>
      <c r="C699" s="6" t="s">
        <v>732</v>
      </c>
      <c r="D699" s="6" t="s">
        <v>733</v>
      </c>
      <c r="E699" s="6" t="s">
        <v>36</v>
      </c>
      <c r="F699" s="6" t="s">
        <v>37</v>
      </c>
      <c r="G699" s="6" t="s">
        <v>78</v>
      </c>
      <c r="H699" s="6" t="s">
        <v>188</v>
      </c>
      <c r="I699" s="6">
        <v>4</v>
      </c>
      <c r="J699" s="8">
        <v>84700</v>
      </c>
      <c r="K699" s="9">
        <v>0.1</v>
      </c>
      <c r="L699" s="10">
        <v>304920</v>
      </c>
      <c r="M699" s="6">
        <v>208000</v>
      </c>
      <c r="N699" s="6">
        <v>96920</v>
      </c>
      <c r="O699" s="6" t="s">
        <v>31</v>
      </c>
      <c r="P699" s="6" t="s">
        <v>32</v>
      </c>
      <c r="Q699" s="6" t="s">
        <v>26</v>
      </c>
    </row>
    <row r="700" spans="1:17" x14ac:dyDescent="0.3">
      <c r="A700" s="6" t="s">
        <v>1237</v>
      </c>
      <c r="B700" s="7">
        <v>46093</v>
      </c>
      <c r="C700" s="6" t="s">
        <v>406</v>
      </c>
      <c r="D700" s="6" t="s">
        <v>407</v>
      </c>
      <c r="E700" s="6" t="s">
        <v>87</v>
      </c>
      <c r="F700" s="6" t="s">
        <v>88</v>
      </c>
      <c r="G700" s="6" t="s">
        <v>78</v>
      </c>
      <c r="H700" s="6" t="s">
        <v>115</v>
      </c>
      <c r="I700" s="6">
        <v>1</v>
      </c>
      <c r="J700" s="8">
        <v>91500</v>
      </c>
      <c r="K700" s="9">
        <v>0.08</v>
      </c>
      <c r="L700" s="10">
        <v>84180</v>
      </c>
      <c r="M700" s="6">
        <v>58000</v>
      </c>
      <c r="N700" s="6">
        <v>26180</v>
      </c>
      <c r="O700" s="6" t="s">
        <v>104</v>
      </c>
      <c r="P700" s="6" t="s">
        <v>119</v>
      </c>
      <c r="Q700" s="6" t="s">
        <v>26</v>
      </c>
    </row>
    <row r="701" spans="1:17" x14ac:dyDescent="0.3">
      <c r="A701" s="6" t="s">
        <v>1238</v>
      </c>
      <c r="B701" s="7">
        <v>46094</v>
      </c>
      <c r="C701" s="6" t="s">
        <v>823</v>
      </c>
      <c r="D701" s="6" t="s">
        <v>824</v>
      </c>
      <c r="E701" s="6" t="s">
        <v>20</v>
      </c>
      <c r="F701" s="6" t="s">
        <v>20</v>
      </c>
      <c r="G701" s="6" t="s">
        <v>44</v>
      </c>
      <c r="H701" s="6" t="s">
        <v>89</v>
      </c>
      <c r="I701" s="6">
        <v>3</v>
      </c>
      <c r="J701" s="8">
        <v>166700</v>
      </c>
      <c r="K701" s="9">
        <v>0.05</v>
      </c>
      <c r="L701" s="10">
        <v>475095</v>
      </c>
      <c r="M701" s="6">
        <v>345000</v>
      </c>
      <c r="N701" s="6">
        <v>130095</v>
      </c>
      <c r="O701" s="6" t="s">
        <v>31</v>
      </c>
      <c r="P701" s="6" t="s">
        <v>163</v>
      </c>
      <c r="Q701" s="6" t="s">
        <v>26</v>
      </c>
    </row>
    <row r="702" spans="1:17" x14ac:dyDescent="0.3">
      <c r="A702" s="6" t="s">
        <v>1239</v>
      </c>
      <c r="B702" s="7">
        <v>46094</v>
      </c>
      <c r="C702" s="6" t="s">
        <v>217</v>
      </c>
      <c r="D702" s="6" t="s">
        <v>218</v>
      </c>
      <c r="E702" s="6" t="s">
        <v>36</v>
      </c>
      <c r="F702" s="6" t="s">
        <v>36</v>
      </c>
      <c r="G702" s="6" t="s">
        <v>78</v>
      </c>
      <c r="H702" s="6" t="s">
        <v>188</v>
      </c>
      <c r="I702" s="6">
        <v>3</v>
      </c>
      <c r="J702" s="8">
        <v>81600</v>
      </c>
      <c r="K702" s="9">
        <v>0.05</v>
      </c>
      <c r="L702" s="10">
        <v>232560</v>
      </c>
      <c r="M702" s="6">
        <v>156000</v>
      </c>
      <c r="N702" s="6">
        <v>76560</v>
      </c>
      <c r="O702" s="6" t="s">
        <v>104</v>
      </c>
      <c r="P702" s="6" t="s">
        <v>119</v>
      </c>
      <c r="Q702" s="6" t="s">
        <v>26</v>
      </c>
    </row>
    <row r="703" spans="1:17" x14ac:dyDescent="0.3">
      <c r="A703" s="6" t="s">
        <v>1240</v>
      </c>
      <c r="B703" s="7">
        <v>46094</v>
      </c>
      <c r="C703" s="6" t="s">
        <v>186</v>
      </c>
      <c r="D703" s="6" t="s">
        <v>187</v>
      </c>
      <c r="E703" s="6" t="s">
        <v>36</v>
      </c>
      <c r="F703" s="6" t="s">
        <v>36</v>
      </c>
      <c r="G703" s="6" t="s">
        <v>22</v>
      </c>
      <c r="H703" s="6" t="s">
        <v>58</v>
      </c>
      <c r="I703" s="6">
        <v>1</v>
      </c>
      <c r="J703" s="8">
        <v>94500</v>
      </c>
      <c r="K703" s="9">
        <v>0.02</v>
      </c>
      <c r="L703" s="10">
        <v>92610</v>
      </c>
      <c r="M703" s="6">
        <v>55000</v>
      </c>
      <c r="N703" s="6">
        <v>37610</v>
      </c>
      <c r="O703" s="6" t="s">
        <v>104</v>
      </c>
      <c r="P703" s="6" t="s">
        <v>163</v>
      </c>
      <c r="Q703" s="6" t="s">
        <v>26</v>
      </c>
    </row>
    <row r="704" spans="1:17" x14ac:dyDescent="0.3">
      <c r="A704" s="6" t="s">
        <v>1241</v>
      </c>
      <c r="B704" s="7">
        <v>46094</v>
      </c>
      <c r="C704" s="6" t="s">
        <v>312</v>
      </c>
      <c r="D704" s="6" t="s">
        <v>313</v>
      </c>
      <c r="E704" s="6" t="s">
        <v>20</v>
      </c>
      <c r="F704" s="6" t="s">
        <v>123</v>
      </c>
      <c r="G704" s="6" t="s">
        <v>38</v>
      </c>
      <c r="H704" s="6" t="s">
        <v>53</v>
      </c>
      <c r="I704" s="6">
        <v>1</v>
      </c>
      <c r="J704" s="8">
        <v>357100</v>
      </c>
      <c r="K704" s="9">
        <v>0.1</v>
      </c>
      <c r="L704" s="10">
        <v>321390</v>
      </c>
      <c r="M704" s="6">
        <v>280000</v>
      </c>
      <c r="N704" s="6">
        <v>41390</v>
      </c>
      <c r="O704" s="6" t="s">
        <v>68</v>
      </c>
      <c r="P704" s="6" t="s">
        <v>54</v>
      </c>
      <c r="Q704" s="6" t="s">
        <v>26</v>
      </c>
    </row>
    <row r="705" spans="1:17" x14ac:dyDescent="0.3">
      <c r="A705" s="6" t="s">
        <v>1242</v>
      </c>
      <c r="B705" s="7">
        <v>46095</v>
      </c>
      <c r="C705" s="6" t="s">
        <v>339</v>
      </c>
      <c r="D705" s="6" t="s">
        <v>340</v>
      </c>
      <c r="E705" s="6" t="s">
        <v>20</v>
      </c>
      <c r="F705" s="6" t="s">
        <v>62</v>
      </c>
      <c r="G705" s="6" t="s">
        <v>22</v>
      </c>
      <c r="H705" s="6" t="s">
        <v>58</v>
      </c>
      <c r="I705" s="6">
        <v>3</v>
      </c>
      <c r="J705" s="8">
        <v>90400</v>
      </c>
      <c r="K705" s="9">
        <v>0</v>
      </c>
      <c r="L705" s="10">
        <v>0</v>
      </c>
      <c r="M705" s="6">
        <v>0</v>
      </c>
      <c r="N705" s="6">
        <v>0</v>
      </c>
      <c r="O705" s="6" t="s">
        <v>40</v>
      </c>
      <c r="P705" s="6" t="s">
        <v>163</v>
      </c>
      <c r="Q705" s="6" t="s">
        <v>69</v>
      </c>
    </row>
    <row r="706" spans="1:17" x14ac:dyDescent="0.3">
      <c r="A706" s="6" t="s">
        <v>1243</v>
      </c>
      <c r="B706" s="7">
        <v>46095</v>
      </c>
      <c r="C706" s="6" t="s">
        <v>396</v>
      </c>
      <c r="D706" s="6" t="s">
        <v>397</v>
      </c>
      <c r="E706" s="6" t="s">
        <v>20</v>
      </c>
      <c r="F706" s="6" t="s">
        <v>20</v>
      </c>
      <c r="G706" s="6" t="s">
        <v>44</v>
      </c>
      <c r="H706" s="6" t="s">
        <v>45</v>
      </c>
      <c r="I706" s="6">
        <v>4</v>
      </c>
      <c r="J706" s="8">
        <v>518600</v>
      </c>
      <c r="K706" s="9">
        <v>0.02</v>
      </c>
      <c r="L706" s="10">
        <v>2032912</v>
      </c>
      <c r="M706" s="6">
        <v>1460000</v>
      </c>
      <c r="N706" s="6">
        <v>572912</v>
      </c>
      <c r="O706" s="6" t="s">
        <v>31</v>
      </c>
      <c r="P706" s="6" t="s">
        <v>32</v>
      </c>
      <c r="Q706" s="6" t="s">
        <v>26</v>
      </c>
    </row>
    <row r="707" spans="1:17" x14ac:dyDescent="0.3">
      <c r="A707" s="6" t="s">
        <v>1244</v>
      </c>
      <c r="B707" s="7">
        <v>46095</v>
      </c>
      <c r="C707" s="6" t="s">
        <v>573</v>
      </c>
      <c r="D707" s="6" t="s">
        <v>574</v>
      </c>
      <c r="E707" s="6" t="s">
        <v>20</v>
      </c>
      <c r="F707" s="6" t="s">
        <v>21</v>
      </c>
      <c r="G707" s="6" t="s">
        <v>22</v>
      </c>
      <c r="H707" s="6" t="s">
        <v>83</v>
      </c>
      <c r="I707" s="6">
        <v>6</v>
      </c>
      <c r="J707" s="8">
        <v>641000</v>
      </c>
      <c r="K707" s="9">
        <v>0</v>
      </c>
      <c r="L707" s="10">
        <v>3846000</v>
      </c>
      <c r="M707" s="6">
        <v>2820000</v>
      </c>
      <c r="N707" s="6">
        <v>1026000</v>
      </c>
      <c r="O707" s="6" t="s">
        <v>24</v>
      </c>
      <c r="P707" s="6" t="s">
        <v>25</v>
      </c>
      <c r="Q707" s="6" t="s">
        <v>26</v>
      </c>
    </row>
    <row r="708" spans="1:17" x14ac:dyDescent="0.3">
      <c r="A708" s="6" t="s">
        <v>1245</v>
      </c>
      <c r="B708" s="7">
        <v>46096</v>
      </c>
      <c r="C708" s="6" t="s">
        <v>1246</v>
      </c>
      <c r="D708" s="6" t="s">
        <v>1247</v>
      </c>
      <c r="E708" s="6" t="s">
        <v>67</v>
      </c>
      <c r="F708" s="6" t="s">
        <v>100</v>
      </c>
      <c r="G708" s="6" t="s">
        <v>22</v>
      </c>
      <c r="H708" s="6" t="s">
        <v>83</v>
      </c>
      <c r="I708" s="6">
        <v>6</v>
      </c>
      <c r="J708" s="8">
        <v>698000</v>
      </c>
      <c r="K708" s="9">
        <v>0.08</v>
      </c>
      <c r="L708" s="10">
        <v>3852960</v>
      </c>
      <c r="M708" s="6">
        <v>2820000</v>
      </c>
      <c r="N708" s="6">
        <v>1032960</v>
      </c>
      <c r="O708" s="6" t="s">
        <v>40</v>
      </c>
      <c r="P708" s="6" t="s">
        <v>163</v>
      </c>
      <c r="Q708" s="6" t="s">
        <v>26</v>
      </c>
    </row>
    <row r="709" spans="1:17" x14ac:dyDescent="0.3">
      <c r="A709" s="6" t="s">
        <v>1248</v>
      </c>
      <c r="B709" s="7">
        <v>46097</v>
      </c>
      <c r="C709" s="6" t="s">
        <v>991</v>
      </c>
      <c r="D709" s="6" t="s">
        <v>992</v>
      </c>
      <c r="E709" s="6" t="s">
        <v>87</v>
      </c>
      <c r="F709" s="6" t="s">
        <v>131</v>
      </c>
      <c r="G709" s="6" t="s">
        <v>22</v>
      </c>
      <c r="H709" s="6" t="s">
        <v>49</v>
      </c>
      <c r="I709" s="6">
        <v>5</v>
      </c>
      <c r="J709" s="8">
        <v>1344400</v>
      </c>
      <c r="K709" s="9">
        <v>0.02</v>
      </c>
      <c r="L709" s="10">
        <v>0</v>
      </c>
      <c r="M709" s="6">
        <v>0</v>
      </c>
      <c r="N709" s="6">
        <v>0</v>
      </c>
      <c r="O709" s="6" t="s">
        <v>104</v>
      </c>
      <c r="P709" s="6" t="s">
        <v>119</v>
      </c>
      <c r="Q709" s="6" t="s">
        <v>69</v>
      </c>
    </row>
    <row r="710" spans="1:17" x14ac:dyDescent="0.3">
      <c r="A710" s="6" t="s">
        <v>1249</v>
      </c>
      <c r="B710" s="7">
        <v>46097</v>
      </c>
      <c r="C710" s="6" t="s">
        <v>1250</v>
      </c>
      <c r="D710" s="6" t="s">
        <v>1251</v>
      </c>
      <c r="E710" s="6" t="s">
        <v>67</v>
      </c>
      <c r="F710" s="6" t="s">
        <v>236</v>
      </c>
      <c r="G710" s="6" t="s">
        <v>44</v>
      </c>
      <c r="H710" s="6" t="s">
        <v>45</v>
      </c>
      <c r="I710" s="6">
        <v>1</v>
      </c>
      <c r="J710" s="8">
        <v>547700</v>
      </c>
      <c r="K710" s="9">
        <v>0.08</v>
      </c>
      <c r="L710" s="10">
        <v>-503884</v>
      </c>
      <c r="M710" s="6">
        <v>-365000</v>
      </c>
      <c r="N710" s="6">
        <v>-138884</v>
      </c>
      <c r="O710" s="6" t="s">
        <v>40</v>
      </c>
      <c r="P710" s="6" t="s">
        <v>25</v>
      </c>
      <c r="Q710" s="6" t="s">
        <v>105</v>
      </c>
    </row>
    <row r="711" spans="1:17" x14ac:dyDescent="0.3">
      <c r="A711" s="6" t="s">
        <v>1252</v>
      </c>
      <c r="B711" s="7">
        <v>46097</v>
      </c>
      <c r="C711" s="6" t="s">
        <v>577</v>
      </c>
      <c r="D711" s="6" t="s">
        <v>578</v>
      </c>
      <c r="E711" s="6" t="s">
        <v>30</v>
      </c>
      <c r="F711" s="6" t="s">
        <v>30</v>
      </c>
      <c r="G711" s="6" t="s">
        <v>38</v>
      </c>
      <c r="H711" s="6" t="s">
        <v>53</v>
      </c>
      <c r="I711" s="6">
        <v>1</v>
      </c>
      <c r="J711" s="8">
        <v>361100</v>
      </c>
      <c r="K711" s="9">
        <v>0.05</v>
      </c>
      <c r="L711" s="10">
        <v>343045</v>
      </c>
      <c r="M711" s="6">
        <v>280000</v>
      </c>
      <c r="N711" s="6">
        <v>63045</v>
      </c>
      <c r="O711" s="6" t="s">
        <v>68</v>
      </c>
      <c r="P711" s="6" t="s">
        <v>32</v>
      </c>
      <c r="Q711" s="6" t="s">
        <v>26</v>
      </c>
    </row>
    <row r="712" spans="1:17" x14ac:dyDescent="0.3">
      <c r="A712" s="6" t="s">
        <v>1253</v>
      </c>
      <c r="B712" s="7">
        <v>46097</v>
      </c>
      <c r="C712" s="6" t="s">
        <v>238</v>
      </c>
      <c r="D712" s="6" t="s">
        <v>239</v>
      </c>
      <c r="E712" s="6" t="s">
        <v>36</v>
      </c>
      <c r="F712" s="6" t="s">
        <v>36</v>
      </c>
      <c r="G712" s="6" t="s">
        <v>78</v>
      </c>
      <c r="H712" s="6" t="s">
        <v>79</v>
      </c>
      <c r="I712" s="6">
        <v>3</v>
      </c>
      <c r="J712" s="8">
        <v>34400</v>
      </c>
      <c r="K712" s="9">
        <v>0.08</v>
      </c>
      <c r="L712" s="10">
        <v>94944</v>
      </c>
      <c r="M712" s="6">
        <v>54000</v>
      </c>
      <c r="N712" s="6">
        <v>40944</v>
      </c>
      <c r="O712" s="6" t="s">
        <v>104</v>
      </c>
      <c r="P712" s="6" t="s">
        <v>25</v>
      </c>
      <c r="Q712" s="6" t="s">
        <v>26</v>
      </c>
    </row>
    <row r="713" spans="1:17" x14ac:dyDescent="0.3">
      <c r="A713" s="6" t="s">
        <v>1254</v>
      </c>
      <c r="B713" s="7">
        <v>46098</v>
      </c>
      <c r="C713" s="6" t="s">
        <v>271</v>
      </c>
      <c r="D713" s="6" t="s">
        <v>272</v>
      </c>
      <c r="E713" s="6" t="s">
        <v>30</v>
      </c>
      <c r="F713" s="6" t="s">
        <v>222</v>
      </c>
      <c r="G713" s="6" t="s">
        <v>38</v>
      </c>
      <c r="H713" s="6" t="s">
        <v>53</v>
      </c>
      <c r="I713" s="6">
        <v>7</v>
      </c>
      <c r="J713" s="8">
        <v>354900</v>
      </c>
      <c r="K713" s="9">
        <v>0</v>
      </c>
      <c r="L713" s="10">
        <v>2484300</v>
      </c>
      <c r="M713" s="6">
        <v>1960000</v>
      </c>
      <c r="N713" s="6">
        <v>524300</v>
      </c>
      <c r="O713" s="6" t="s">
        <v>40</v>
      </c>
      <c r="P713" s="6" t="s">
        <v>74</v>
      </c>
      <c r="Q713" s="6" t="s">
        <v>26</v>
      </c>
    </row>
    <row r="714" spans="1:17" x14ac:dyDescent="0.3">
      <c r="A714" s="6" t="s">
        <v>1255</v>
      </c>
      <c r="B714" s="7">
        <v>46099</v>
      </c>
      <c r="C714" s="6" t="s">
        <v>183</v>
      </c>
      <c r="D714" s="6" t="s">
        <v>184</v>
      </c>
      <c r="E714" s="6" t="s">
        <v>30</v>
      </c>
      <c r="F714" s="6" t="s">
        <v>222</v>
      </c>
      <c r="G714" s="6" t="s">
        <v>44</v>
      </c>
      <c r="H714" s="6" t="s">
        <v>45</v>
      </c>
      <c r="I714" s="6">
        <v>4</v>
      </c>
      <c r="J714" s="8">
        <v>522700</v>
      </c>
      <c r="K714" s="9">
        <v>0.02</v>
      </c>
      <c r="L714" s="10">
        <v>2048984</v>
      </c>
      <c r="M714" s="6">
        <v>1460000</v>
      </c>
      <c r="N714" s="6">
        <v>588984</v>
      </c>
      <c r="O714" s="6" t="s">
        <v>104</v>
      </c>
      <c r="P714" s="6" t="s">
        <v>74</v>
      </c>
      <c r="Q714" s="6" t="s">
        <v>26</v>
      </c>
    </row>
    <row r="715" spans="1:17" x14ac:dyDescent="0.3">
      <c r="A715" s="6" t="s">
        <v>1256</v>
      </c>
      <c r="B715" s="7">
        <v>46099</v>
      </c>
      <c r="C715" s="6" t="s">
        <v>60</v>
      </c>
      <c r="D715" s="6" t="s">
        <v>61</v>
      </c>
      <c r="E715" s="6" t="s">
        <v>87</v>
      </c>
      <c r="F715" s="6" t="s">
        <v>88</v>
      </c>
      <c r="G715" s="6" t="s">
        <v>22</v>
      </c>
      <c r="H715" s="6" t="s">
        <v>23</v>
      </c>
      <c r="I715" s="6">
        <v>6</v>
      </c>
      <c r="J715" s="8">
        <v>447800</v>
      </c>
      <c r="K715" s="9">
        <v>0</v>
      </c>
      <c r="L715" s="10">
        <v>2686800</v>
      </c>
      <c r="M715" s="6">
        <v>1800000</v>
      </c>
      <c r="N715" s="6">
        <v>886800</v>
      </c>
      <c r="O715" s="6" t="s">
        <v>68</v>
      </c>
      <c r="P715" s="6" t="s">
        <v>119</v>
      </c>
      <c r="Q715" s="6" t="s">
        <v>26</v>
      </c>
    </row>
    <row r="716" spans="1:17" x14ac:dyDescent="0.3">
      <c r="A716" s="6" t="s">
        <v>1257</v>
      </c>
      <c r="B716" s="7">
        <v>46100</v>
      </c>
      <c r="C716" s="6" t="s">
        <v>1136</v>
      </c>
      <c r="D716" s="6" t="s">
        <v>1137</v>
      </c>
      <c r="E716" s="6" t="s">
        <v>30</v>
      </c>
      <c r="F716" s="6" t="s">
        <v>159</v>
      </c>
      <c r="G716" s="6" t="s">
        <v>38</v>
      </c>
      <c r="H716" s="6" t="s">
        <v>214</v>
      </c>
      <c r="I716" s="6">
        <v>5</v>
      </c>
      <c r="J716" s="8">
        <v>46500</v>
      </c>
      <c r="K716" s="9">
        <v>0.05</v>
      </c>
      <c r="L716" s="10">
        <v>220875</v>
      </c>
      <c r="M716" s="6">
        <v>130000</v>
      </c>
      <c r="N716" s="6">
        <v>90875</v>
      </c>
      <c r="O716" s="6" t="s">
        <v>31</v>
      </c>
      <c r="P716" s="6" t="s">
        <v>90</v>
      </c>
      <c r="Q716" s="6" t="s">
        <v>26</v>
      </c>
    </row>
    <row r="717" spans="1:17" x14ac:dyDescent="0.3">
      <c r="A717" s="6" t="s">
        <v>1258</v>
      </c>
      <c r="B717" s="7">
        <v>46100</v>
      </c>
      <c r="C717" s="6" t="s">
        <v>889</v>
      </c>
      <c r="D717" s="6" t="s">
        <v>890</v>
      </c>
      <c r="E717" s="6" t="s">
        <v>67</v>
      </c>
      <c r="F717" s="6" t="s">
        <v>67</v>
      </c>
      <c r="G717" s="6" t="s">
        <v>22</v>
      </c>
      <c r="H717" s="6" t="s">
        <v>23</v>
      </c>
      <c r="I717" s="6">
        <v>7</v>
      </c>
      <c r="J717" s="8">
        <v>404700</v>
      </c>
      <c r="K717" s="9">
        <v>0.05</v>
      </c>
      <c r="L717" s="10">
        <v>-2691255</v>
      </c>
      <c r="M717" s="6">
        <v>-2100000</v>
      </c>
      <c r="N717" s="6">
        <v>-591255</v>
      </c>
      <c r="O717" s="6" t="s">
        <v>68</v>
      </c>
      <c r="P717" s="6" t="s">
        <v>63</v>
      </c>
      <c r="Q717" s="6" t="s">
        <v>105</v>
      </c>
    </row>
    <row r="718" spans="1:17" x14ac:dyDescent="0.3">
      <c r="A718" s="6" t="s">
        <v>1259</v>
      </c>
      <c r="B718" s="7">
        <v>46100</v>
      </c>
      <c r="C718" s="6" t="s">
        <v>561</v>
      </c>
      <c r="D718" s="6" t="s">
        <v>562</v>
      </c>
      <c r="E718" s="6" t="s">
        <v>20</v>
      </c>
      <c r="F718" s="6" t="s">
        <v>20</v>
      </c>
      <c r="G718" s="6" t="s">
        <v>44</v>
      </c>
      <c r="H718" s="6" t="s">
        <v>45</v>
      </c>
      <c r="I718" s="6">
        <v>2</v>
      </c>
      <c r="J718" s="8">
        <v>515800</v>
      </c>
      <c r="K718" s="9">
        <v>0.08</v>
      </c>
      <c r="L718" s="10">
        <v>949072</v>
      </c>
      <c r="M718" s="6">
        <v>730000</v>
      </c>
      <c r="N718" s="6">
        <v>219072</v>
      </c>
      <c r="O718" s="6" t="s">
        <v>68</v>
      </c>
      <c r="P718" s="6" t="s">
        <v>119</v>
      </c>
      <c r="Q718" s="6" t="s">
        <v>26</v>
      </c>
    </row>
    <row r="719" spans="1:17" x14ac:dyDescent="0.3">
      <c r="A719" s="6" t="s">
        <v>1260</v>
      </c>
      <c r="B719" s="7">
        <v>46100</v>
      </c>
      <c r="C719" s="6" t="s">
        <v>680</v>
      </c>
      <c r="D719" s="6" t="s">
        <v>681</v>
      </c>
      <c r="E719" s="6" t="s">
        <v>67</v>
      </c>
      <c r="F719" s="6" t="s">
        <v>67</v>
      </c>
      <c r="G719" s="6" t="s">
        <v>38</v>
      </c>
      <c r="H719" s="6" t="s">
        <v>127</v>
      </c>
      <c r="I719" s="6">
        <v>2</v>
      </c>
      <c r="J719" s="8">
        <v>228300</v>
      </c>
      <c r="K719" s="9">
        <v>0.05</v>
      </c>
      <c r="L719" s="10">
        <v>433770</v>
      </c>
      <c r="M719" s="6">
        <v>330000</v>
      </c>
      <c r="N719" s="6">
        <v>103770</v>
      </c>
      <c r="O719" s="6" t="s">
        <v>68</v>
      </c>
      <c r="P719" s="6" t="s">
        <v>90</v>
      </c>
      <c r="Q719" s="6" t="s">
        <v>26</v>
      </c>
    </row>
    <row r="720" spans="1:17" x14ac:dyDescent="0.3">
      <c r="A720" s="6" t="s">
        <v>1261</v>
      </c>
      <c r="B720" s="7">
        <v>46102</v>
      </c>
      <c r="C720" s="6" t="s">
        <v>991</v>
      </c>
      <c r="D720" s="6" t="s">
        <v>992</v>
      </c>
      <c r="E720" s="6" t="s">
        <v>36</v>
      </c>
      <c r="F720" s="6" t="s">
        <v>37</v>
      </c>
      <c r="G720" s="6" t="s">
        <v>78</v>
      </c>
      <c r="H720" s="6" t="s">
        <v>318</v>
      </c>
      <c r="I720" s="6">
        <v>7</v>
      </c>
      <c r="J720" s="8">
        <v>79900</v>
      </c>
      <c r="K720" s="9">
        <v>0.08</v>
      </c>
      <c r="L720" s="10">
        <v>514556</v>
      </c>
      <c r="M720" s="6">
        <v>301000</v>
      </c>
      <c r="N720" s="6">
        <v>213556</v>
      </c>
      <c r="O720" s="6" t="s">
        <v>31</v>
      </c>
      <c r="P720" s="6" t="s">
        <v>32</v>
      </c>
      <c r="Q720" s="6" t="s">
        <v>26</v>
      </c>
    </row>
    <row r="721" spans="1:17" x14ac:dyDescent="0.3">
      <c r="A721" s="6" t="s">
        <v>1262</v>
      </c>
      <c r="B721" s="7">
        <v>46103</v>
      </c>
      <c r="C721" s="6" t="s">
        <v>217</v>
      </c>
      <c r="D721" s="6" t="s">
        <v>218</v>
      </c>
      <c r="E721" s="6" t="s">
        <v>36</v>
      </c>
      <c r="F721" s="6" t="s">
        <v>36</v>
      </c>
      <c r="G721" s="6" t="s">
        <v>44</v>
      </c>
      <c r="H721" s="6" t="s">
        <v>45</v>
      </c>
      <c r="I721" s="6">
        <v>1</v>
      </c>
      <c r="J721" s="8">
        <v>493800</v>
      </c>
      <c r="K721" s="9">
        <v>0.05</v>
      </c>
      <c r="L721" s="10">
        <v>469110</v>
      </c>
      <c r="M721" s="6">
        <v>365000</v>
      </c>
      <c r="N721" s="6">
        <v>104110</v>
      </c>
      <c r="O721" s="6" t="s">
        <v>24</v>
      </c>
      <c r="P721" s="6" t="s">
        <v>54</v>
      </c>
      <c r="Q721" s="6" t="s">
        <v>26</v>
      </c>
    </row>
    <row r="722" spans="1:17" x14ac:dyDescent="0.3">
      <c r="A722" s="6" t="s">
        <v>1263</v>
      </c>
      <c r="B722" s="7">
        <v>46103</v>
      </c>
      <c r="C722" s="6" t="s">
        <v>362</v>
      </c>
      <c r="D722" s="6" t="s">
        <v>363</v>
      </c>
      <c r="E722" s="6" t="s">
        <v>67</v>
      </c>
      <c r="F722" s="6" t="s">
        <v>236</v>
      </c>
      <c r="G722" s="6" t="s">
        <v>38</v>
      </c>
      <c r="H722" s="6" t="s">
        <v>127</v>
      </c>
      <c r="I722" s="6">
        <v>7</v>
      </c>
      <c r="J722" s="8">
        <v>246600</v>
      </c>
      <c r="K722" s="9">
        <v>0.05</v>
      </c>
      <c r="L722" s="10">
        <v>1639890</v>
      </c>
      <c r="M722" s="6">
        <v>1155000</v>
      </c>
      <c r="N722" s="6">
        <v>484890</v>
      </c>
      <c r="O722" s="6" t="s">
        <v>104</v>
      </c>
      <c r="P722" s="6" t="s">
        <v>54</v>
      </c>
      <c r="Q722" s="6" t="s">
        <v>26</v>
      </c>
    </row>
    <row r="723" spans="1:17" x14ac:dyDescent="0.3">
      <c r="A723" s="6" t="s">
        <v>1264</v>
      </c>
      <c r="B723" s="7">
        <v>46104</v>
      </c>
      <c r="C723" s="6" t="s">
        <v>375</v>
      </c>
      <c r="D723" s="6" t="s">
        <v>376</v>
      </c>
      <c r="E723" s="6" t="s">
        <v>20</v>
      </c>
      <c r="F723" s="6" t="s">
        <v>62</v>
      </c>
      <c r="G723" s="6" t="s">
        <v>78</v>
      </c>
      <c r="H723" s="6" t="s">
        <v>318</v>
      </c>
      <c r="I723" s="6">
        <v>3</v>
      </c>
      <c r="J723" s="8">
        <v>77200</v>
      </c>
      <c r="K723" s="9">
        <v>0</v>
      </c>
      <c r="L723" s="10">
        <v>231600</v>
      </c>
      <c r="M723" s="6">
        <v>129000</v>
      </c>
      <c r="N723" s="6">
        <v>102600</v>
      </c>
      <c r="O723" s="6" t="s">
        <v>24</v>
      </c>
      <c r="P723" s="6" t="s">
        <v>74</v>
      </c>
      <c r="Q723" s="6" t="s">
        <v>26</v>
      </c>
    </row>
    <row r="724" spans="1:17" x14ac:dyDescent="0.3">
      <c r="A724" s="6" t="s">
        <v>1265</v>
      </c>
      <c r="B724" s="7">
        <v>46105</v>
      </c>
      <c r="C724" s="6" t="s">
        <v>817</v>
      </c>
      <c r="D724" s="6" t="s">
        <v>818</v>
      </c>
      <c r="E724" s="6" t="s">
        <v>20</v>
      </c>
      <c r="F724" s="6" t="s">
        <v>20</v>
      </c>
      <c r="G724" s="6" t="s">
        <v>38</v>
      </c>
      <c r="H724" s="6" t="s">
        <v>53</v>
      </c>
      <c r="I724" s="6">
        <v>5</v>
      </c>
      <c r="J724" s="8">
        <v>402000</v>
      </c>
      <c r="K724" s="9">
        <v>0</v>
      </c>
      <c r="L724" s="10">
        <v>2010000</v>
      </c>
      <c r="M724" s="6">
        <v>1400000</v>
      </c>
      <c r="N724" s="6">
        <v>610000</v>
      </c>
      <c r="O724" s="6" t="s">
        <v>68</v>
      </c>
      <c r="P724" s="6" t="s">
        <v>119</v>
      </c>
      <c r="Q724" s="6" t="s">
        <v>26</v>
      </c>
    </row>
    <row r="725" spans="1:17" x14ac:dyDescent="0.3">
      <c r="A725" s="6" t="s">
        <v>1266</v>
      </c>
      <c r="B725" s="7">
        <v>46105</v>
      </c>
      <c r="C725" s="6" t="s">
        <v>600</v>
      </c>
      <c r="D725" s="6" t="s">
        <v>601</v>
      </c>
      <c r="E725" s="6" t="s">
        <v>30</v>
      </c>
      <c r="F725" s="6" t="s">
        <v>159</v>
      </c>
      <c r="G725" s="6" t="s">
        <v>22</v>
      </c>
      <c r="H725" s="6" t="s">
        <v>58</v>
      </c>
      <c r="I725" s="6">
        <v>2</v>
      </c>
      <c r="J725" s="8">
        <v>100000</v>
      </c>
      <c r="K725" s="9">
        <v>0.02</v>
      </c>
      <c r="L725" s="10">
        <v>-196000</v>
      </c>
      <c r="M725" s="6">
        <v>-110000</v>
      </c>
      <c r="N725" s="6">
        <v>-86000</v>
      </c>
      <c r="O725" s="6" t="s">
        <v>104</v>
      </c>
      <c r="P725" s="6" t="s">
        <v>54</v>
      </c>
      <c r="Q725" s="6" t="s">
        <v>105</v>
      </c>
    </row>
    <row r="726" spans="1:17" x14ac:dyDescent="0.3">
      <c r="A726" s="6" t="s">
        <v>1267</v>
      </c>
      <c r="B726" s="7">
        <v>46106</v>
      </c>
      <c r="C726" s="6" t="s">
        <v>619</v>
      </c>
      <c r="D726" s="6" t="s">
        <v>620</v>
      </c>
      <c r="E726" s="6" t="s">
        <v>36</v>
      </c>
      <c r="F726" s="6" t="s">
        <v>36</v>
      </c>
      <c r="G726" s="6" t="s">
        <v>22</v>
      </c>
      <c r="H726" s="6" t="s">
        <v>23</v>
      </c>
      <c r="I726" s="6">
        <v>3</v>
      </c>
      <c r="J726" s="8">
        <v>430700</v>
      </c>
      <c r="K726" s="9">
        <v>0.08</v>
      </c>
      <c r="L726" s="10">
        <v>1188732</v>
      </c>
      <c r="M726" s="6">
        <v>900000</v>
      </c>
      <c r="N726" s="6">
        <v>288732</v>
      </c>
      <c r="O726" s="6" t="s">
        <v>40</v>
      </c>
      <c r="P726" s="6" t="s">
        <v>54</v>
      </c>
      <c r="Q726" s="6" t="s">
        <v>26</v>
      </c>
    </row>
    <row r="727" spans="1:17" x14ac:dyDescent="0.3">
      <c r="A727" s="6" t="s">
        <v>1268</v>
      </c>
      <c r="B727" s="7">
        <v>46106</v>
      </c>
      <c r="C727" s="6" t="s">
        <v>557</v>
      </c>
      <c r="D727" s="6" t="s">
        <v>558</v>
      </c>
      <c r="E727" s="6" t="s">
        <v>36</v>
      </c>
      <c r="F727" s="6" t="s">
        <v>36</v>
      </c>
      <c r="G727" s="6" t="s">
        <v>22</v>
      </c>
      <c r="H727" s="6" t="s">
        <v>83</v>
      </c>
      <c r="I727" s="6">
        <v>1</v>
      </c>
      <c r="J727" s="8">
        <v>672200</v>
      </c>
      <c r="K727" s="9">
        <v>0.02</v>
      </c>
      <c r="L727" s="10">
        <v>658756</v>
      </c>
      <c r="M727" s="6">
        <v>470000</v>
      </c>
      <c r="N727" s="6">
        <v>188756</v>
      </c>
      <c r="O727" s="6" t="s">
        <v>31</v>
      </c>
      <c r="P727" s="6" t="s">
        <v>119</v>
      </c>
      <c r="Q727" s="6" t="s">
        <v>26</v>
      </c>
    </row>
    <row r="728" spans="1:17" x14ac:dyDescent="0.3">
      <c r="A728" s="6" t="s">
        <v>1269</v>
      </c>
      <c r="B728" s="7">
        <v>46108</v>
      </c>
      <c r="C728" s="6" t="s">
        <v>186</v>
      </c>
      <c r="D728" s="6" t="s">
        <v>187</v>
      </c>
      <c r="E728" s="6" t="s">
        <v>67</v>
      </c>
      <c r="F728" s="6" t="s">
        <v>236</v>
      </c>
      <c r="G728" s="6" t="s">
        <v>22</v>
      </c>
      <c r="H728" s="6" t="s">
        <v>23</v>
      </c>
      <c r="I728" s="6">
        <v>3</v>
      </c>
      <c r="J728" s="8">
        <v>387900</v>
      </c>
      <c r="K728" s="9">
        <v>0.05</v>
      </c>
      <c r="L728" s="10">
        <v>1105515</v>
      </c>
      <c r="M728" s="6">
        <v>900000</v>
      </c>
      <c r="N728" s="6">
        <v>205515</v>
      </c>
      <c r="O728" s="6" t="s">
        <v>40</v>
      </c>
      <c r="P728" s="6" t="s">
        <v>63</v>
      </c>
      <c r="Q728" s="6" t="s">
        <v>26</v>
      </c>
    </row>
    <row r="729" spans="1:17" x14ac:dyDescent="0.3">
      <c r="A729" s="6" t="s">
        <v>1270</v>
      </c>
      <c r="B729" s="7">
        <v>46108</v>
      </c>
      <c r="C729" s="6" t="s">
        <v>1169</v>
      </c>
      <c r="D729" s="6" t="s">
        <v>1170</v>
      </c>
      <c r="E729" s="6" t="s">
        <v>20</v>
      </c>
      <c r="F729" s="6" t="s">
        <v>20</v>
      </c>
      <c r="G729" s="6" t="s">
        <v>38</v>
      </c>
      <c r="H729" s="6" t="s">
        <v>127</v>
      </c>
      <c r="I729" s="6">
        <v>6</v>
      </c>
      <c r="J729" s="8">
        <v>244000</v>
      </c>
      <c r="K729" s="9">
        <v>0.05</v>
      </c>
      <c r="L729" s="10">
        <v>1390800</v>
      </c>
      <c r="M729" s="6">
        <v>990000</v>
      </c>
      <c r="N729" s="6">
        <v>400800</v>
      </c>
      <c r="O729" s="6" t="s">
        <v>40</v>
      </c>
      <c r="P729" s="6" t="s">
        <v>63</v>
      </c>
      <c r="Q729" s="6" t="s">
        <v>26</v>
      </c>
    </row>
    <row r="730" spans="1:17" x14ac:dyDescent="0.3">
      <c r="A730" s="6" t="s">
        <v>1271</v>
      </c>
      <c r="B730" s="7">
        <v>46108</v>
      </c>
      <c r="C730" s="6" t="s">
        <v>893</v>
      </c>
      <c r="D730" s="6" t="s">
        <v>894</v>
      </c>
      <c r="E730" s="6" t="s">
        <v>36</v>
      </c>
      <c r="F730" s="6" t="s">
        <v>36</v>
      </c>
      <c r="G730" s="6" t="s">
        <v>22</v>
      </c>
      <c r="H730" s="6" t="s">
        <v>83</v>
      </c>
      <c r="I730" s="6">
        <v>1</v>
      </c>
      <c r="J730" s="8">
        <v>685900</v>
      </c>
      <c r="K730" s="9">
        <v>0.05</v>
      </c>
      <c r="L730" s="10">
        <v>651605</v>
      </c>
      <c r="M730" s="6">
        <v>470000</v>
      </c>
      <c r="N730" s="6">
        <v>181605</v>
      </c>
      <c r="O730" s="6" t="s">
        <v>24</v>
      </c>
      <c r="P730" s="6" t="s">
        <v>90</v>
      </c>
      <c r="Q730" s="6" t="s">
        <v>26</v>
      </c>
    </row>
    <row r="731" spans="1:17" x14ac:dyDescent="0.3">
      <c r="A731" s="6" t="s">
        <v>1272</v>
      </c>
      <c r="B731" s="7">
        <v>46108</v>
      </c>
      <c r="C731" s="6" t="s">
        <v>51</v>
      </c>
      <c r="D731" s="6" t="s">
        <v>52</v>
      </c>
      <c r="E731" s="6" t="s">
        <v>20</v>
      </c>
      <c r="F731" s="6" t="s">
        <v>20</v>
      </c>
      <c r="G731" s="6" t="s">
        <v>78</v>
      </c>
      <c r="H731" s="6" t="s">
        <v>79</v>
      </c>
      <c r="I731" s="6">
        <v>1</v>
      </c>
      <c r="J731" s="8">
        <v>32600</v>
      </c>
      <c r="K731" s="9">
        <v>0.1</v>
      </c>
      <c r="L731" s="10">
        <v>29340</v>
      </c>
      <c r="M731" s="6">
        <v>18000</v>
      </c>
      <c r="N731" s="6">
        <v>11340</v>
      </c>
      <c r="O731" s="6" t="s">
        <v>104</v>
      </c>
      <c r="P731" s="6" t="s">
        <v>119</v>
      </c>
      <c r="Q731" s="6" t="s">
        <v>26</v>
      </c>
    </row>
    <row r="732" spans="1:17" x14ac:dyDescent="0.3">
      <c r="A732" s="6" t="s">
        <v>1273</v>
      </c>
      <c r="B732" s="7">
        <v>46109</v>
      </c>
      <c r="C732" s="6" t="s">
        <v>47</v>
      </c>
      <c r="D732" s="6" t="s">
        <v>48</v>
      </c>
      <c r="E732" s="6" t="s">
        <v>30</v>
      </c>
      <c r="F732" s="6" t="s">
        <v>159</v>
      </c>
      <c r="G732" s="6" t="s">
        <v>38</v>
      </c>
      <c r="H732" s="6" t="s">
        <v>214</v>
      </c>
      <c r="I732" s="6">
        <v>2</v>
      </c>
      <c r="J732" s="8">
        <v>42800</v>
      </c>
      <c r="K732" s="9">
        <v>0.05</v>
      </c>
      <c r="L732" s="10">
        <v>81320</v>
      </c>
      <c r="M732" s="6">
        <v>52000</v>
      </c>
      <c r="N732" s="6">
        <v>29320</v>
      </c>
      <c r="O732" s="6" t="s">
        <v>40</v>
      </c>
      <c r="P732" s="6" t="s">
        <v>90</v>
      </c>
      <c r="Q732" s="6" t="s">
        <v>26</v>
      </c>
    </row>
    <row r="733" spans="1:17" x14ac:dyDescent="0.3">
      <c r="A733" s="6" t="s">
        <v>1274</v>
      </c>
      <c r="B733" s="7">
        <v>46109</v>
      </c>
      <c r="C733" s="6" t="s">
        <v>402</v>
      </c>
      <c r="D733" s="6" t="s">
        <v>403</v>
      </c>
      <c r="E733" s="6" t="s">
        <v>30</v>
      </c>
      <c r="F733" s="6" t="s">
        <v>159</v>
      </c>
      <c r="G733" s="6" t="s">
        <v>22</v>
      </c>
      <c r="H733" s="6" t="s">
        <v>83</v>
      </c>
      <c r="I733" s="6">
        <v>1</v>
      </c>
      <c r="J733" s="8">
        <v>645700</v>
      </c>
      <c r="K733" s="9">
        <v>0.08</v>
      </c>
      <c r="L733" s="10">
        <v>594044</v>
      </c>
      <c r="M733" s="6">
        <v>470000</v>
      </c>
      <c r="N733" s="6">
        <v>124044</v>
      </c>
      <c r="O733" s="6" t="s">
        <v>31</v>
      </c>
      <c r="P733" s="6" t="s">
        <v>74</v>
      </c>
      <c r="Q733" s="6" t="s">
        <v>26</v>
      </c>
    </row>
    <row r="734" spans="1:17" x14ac:dyDescent="0.3">
      <c r="A734" s="6" t="s">
        <v>1275</v>
      </c>
      <c r="B734" s="7">
        <v>46110</v>
      </c>
      <c r="C734" s="6" t="s">
        <v>893</v>
      </c>
      <c r="D734" s="6" t="s">
        <v>894</v>
      </c>
      <c r="E734" s="6" t="s">
        <v>20</v>
      </c>
      <c r="F734" s="6" t="s">
        <v>123</v>
      </c>
      <c r="G734" s="6" t="s">
        <v>44</v>
      </c>
      <c r="H734" s="6" t="s">
        <v>45</v>
      </c>
      <c r="I734" s="6">
        <v>2</v>
      </c>
      <c r="J734" s="8">
        <v>486400</v>
      </c>
      <c r="K734" s="9">
        <v>0.05</v>
      </c>
      <c r="L734" s="10">
        <v>924160</v>
      </c>
      <c r="M734" s="6">
        <v>730000</v>
      </c>
      <c r="N734" s="6">
        <v>194160</v>
      </c>
      <c r="O734" s="6" t="s">
        <v>40</v>
      </c>
      <c r="P734" s="6" t="s">
        <v>54</v>
      </c>
      <c r="Q734" s="6" t="s">
        <v>26</v>
      </c>
    </row>
    <row r="735" spans="1:17" x14ac:dyDescent="0.3">
      <c r="A735" s="6" t="s">
        <v>1276</v>
      </c>
      <c r="B735" s="7">
        <v>46111</v>
      </c>
      <c r="C735" s="6" t="s">
        <v>529</v>
      </c>
      <c r="D735" s="6" t="s">
        <v>530</v>
      </c>
      <c r="E735" s="6" t="s">
        <v>20</v>
      </c>
      <c r="F735" s="6" t="s">
        <v>62</v>
      </c>
      <c r="G735" s="6" t="s">
        <v>44</v>
      </c>
      <c r="H735" s="6" t="s">
        <v>45</v>
      </c>
      <c r="I735" s="6">
        <v>1</v>
      </c>
      <c r="J735" s="8">
        <v>498500</v>
      </c>
      <c r="K735" s="9">
        <v>0.08</v>
      </c>
      <c r="L735" s="10">
        <v>458620</v>
      </c>
      <c r="M735" s="6">
        <v>365000</v>
      </c>
      <c r="N735" s="6">
        <v>93620</v>
      </c>
      <c r="O735" s="6" t="s">
        <v>104</v>
      </c>
      <c r="P735" s="6" t="s">
        <v>32</v>
      </c>
      <c r="Q735" s="6" t="s">
        <v>26</v>
      </c>
    </row>
    <row r="736" spans="1:17" x14ac:dyDescent="0.3">
      <c r="A736" s="6" t="s">
        <v>1277</v>
      </c>
      <c r="B736" s="7">
        <v>46111</v>
      </c>
      <c r="C736" s="6" t="s">
        <v>47</v>
      </c>
      <c r="D736" s="6" t="s">
        <v>48</v>
      </c>
      <c r="E736" s="6" t="s">
        <v>20</v>
      </c>
      <c r="F736" s="6" t="s">
        <v>20</v>
      </c>
      <c r="G736" s="6" t="s">
        <v>38</v>
      </c>
      <c r="H736" s="6" t="s">
        <v>39</v>
      </c>
      <c r="I736" s="6">
        <v>7</v>
      </c>
      <c r="J736" s="8">
        <v>28800</v>
      </c>
      <c r="K736" s="9">
        <v>0.08</v>
      </c>
      <c r="L736" s="10">
        <v>185472</v>
      </c>
      <c r="M736" s="6">
        <v>105000</v>
      </c>
      <c r="N736" s="6">
        <v>80472</v>
      </c>
      <c r="O736" s="6" t="s">
        <v>24</v>
      </c>
      <c r="P736" s="6" t="s">
        <v>163</v>
      </c>
      <c r="Q736" s="6" t="s">
        <v>26</v>
      </c>
    </row>
    <row r="737" spans="1:17" x14ac:dyDescent="0.3">
      <c r="A737" s="6" t="s">
        <v>1278</v>
      </c>
      <c r="B737" s="7">
        <v>46112</v>
      </c>
      <c r="C737" s="6" t="s">
        <v>1279</v>
      </c>
      <c r="D737" s="6" t="s">
        <v>1280</v>
      </c>
      <c r="E737" s="6" t="s">
        <v>36</v>
      </c>
      <c r="F737" s="6" t="s">
        <v>36</v>
      </c>
      <c r="G737" s="6" t="s">
        <v>38</v>
      </c>
      <c r="H737" s="6" t="s">
        <v>127</v>
      </c>
      <c r="I737" s="6">
        <v>6</v>
      </c>
      <c r="J737" s="8">
        <v>240700</v>
      </c>
      <c r="K737" s="9">
        <v>0</v>
      </c>
      <c r="L737" s="10">
        <v>1444200</v>
      </c>
      <c r="M737" s="6">
        <v>990000</v>
      </c>
      <c r="N737" s="6">
        <v>454200</v>
      </c>
      <c r="O737" s="6" t="s">
        <v>104</v>
      </c>
      <c r="P737" s="6" t="s">
        <v>163</v>
      </c>
      <c r="Q737" s="6" t="s">
        <v>26</v>
      </c>
    </row>
    <row r="738" spans="1:17" x14ac:dyDescent="0.3">
      <c r="A738" s="6" t="s">
        <v>1281</v>
      </c>
      <c r="B738" s="7">
        <v>46113</v>
      </c>
      <c r="C738" s="6" t="s">
        <v>484</v>
      </c>
      <c r="D738" s="6" t="s">
        <v>485</v>
      </c>
      <c r="E738" s="6" t="s">
        <v>36</v>
      </c>
      <c r="F738" s="6" t="s">
        <v>37</v>
      </c>
      <c r="G738" s="6" t="s">
        <v>22</v>
      </c>
      <c r="H738" s="6" t="s">
        <v>58</v>
      </c>
      <c r="I738" s="6">
        <v>6</v>
      </c>
      <c r="J738" s="8">
        <v>99900</v>
      </c>
      <c r="K738" s="9">
        <v>0.08</v>
      </c>
      <c r="L738" s="10">
        <v>551448</v>
      </c>
      <c r="M738" s="6">
        <v>330000</v>
      </c>
      <c r="N738" s="6">
        <v>221448</v>
      </c>
      <c r="O738" s="6" t="s">
        <v>24</v>
      </c>
      <c r="P738" s="6" t="s">
        <v>163</v>
      </c>
      <c r="Q738" s="6" t="s">
        <v>26</v>
      </c>
    </row>
    <row r="739" spans="1:17" x14ac:dyDescent="0.3">
      <c r="A739" s="6" t="s">
        <v>1282</v>
      </c>
      <c r="B739" s="7">
        <v>46113</v>
      </c>
      <c r="C739" s="6" t="s">
        <v>177</v>
      </c>
      <c r="D739" s="6" t="s">
        <v>178</v>
      </c>
      <c r="E739" s="6" t="s">
        <v>20</v>
      </c>
      <c r="F739" s="6" t="s">
        <v>20</v>
      </c>
      <c r="G739" s="6" t="s">
        <v>44</v>
      </c>
      <c r="H739" s="6" t="s">
        <v>45</v>
      </c>
      <c r="I739" s="6">
        <v>5</v>
      </c>
      <c r="J739" s="8">
        <v>498200</v>
      </c>
      <c r="K739" s="9">
        <v>0.05</v>
      </c>
      <c r="L739" s="10">
        <v>2366450</v>
      </c>
      <c r="M739" s="6">
        <v>1825000</v>
      </c>
      <c r="N739" s="6">
        <v>541450</v>
      </c>
      <c r="O739" s="6" t="s">
        <v>40</v>
      </c>
      <c r="P739" s="6" t="s">
        <v>90</v>
      </c>
      <c r="Q739" s="6" t="s">
        <v>26</v>
      </c>
    </row>
    <row r="740" spans="1:17" x14ac:dyDescent="0.3">
      <c r="A740" s="6" t="s">
        <v>1283</v>
      </c>
      <c r="B740" s="7">
        <v>46114</v>
      </c>
      <c r="C740" s="6" t="s">
        <v>1077</v>
      </c>
      <c r="D740" s="6" t="s">
        <v>1078</v>
      </c>
      <c r="E740" s="6" t="s">
        <v>20</v>
      </c>
      <c r="F740" s="6" t="s">
        <v>62</v>
      </c>
      <c r="G740" s="6" t="s">
        <v>44</v>
      </c>
      <c r="H740" s="6" t="s">
        <v>45</v>
      </c>
      <c r="I740" s="6">
        <v>1</v>
      </c>
      <c r="J740" s="8">
        <v>505800</v>
      </c>
      <c r="K740" s="9">
        <v>0.05</v>
      </c>
      <c r="L740" s="10">
        <v>-480510</v>
      </c>
      <c r="M740" s="6">
        <v>-365000</v>
      </c>
      <c r="N740" s="6">
        <v>-115510</v>
      </c>
      <c r="O740" s="6" t="s">
        <v>31</v>
      </c>
      <c r="P740" s="6" t="s">
        <v>32</v>
      </c>
      <c r="Q740" s="6" t="s">
        <v>105</v>
      </c>
    </row>
    <row r="741" spans="1:17" x14ac:dyDescent="0.3">
      <c r="A741" s="6" t="s">
        <v>1284</v>
      </c>
      <c r="B741" s="7">
        <v>46116</v>
      </c>
      <c r="C741" s="6" t="s">
        <v>339</v>
      </c>
      <c r="D741" s="6" t="s">
        <v>340</v>
      </c>
      <c r="E741" s="6" t="s">
        <v>20</v>
      </c>
      <c r="F741" s="6" t="s">
        <v>20</v>
      </c>
      <c r="G741" s="6" t="s">
        <v>44</v>
      </c>
      <c r="H741" s="6" t="s">
        <v>45</v>
      </c>
      <c r="I741" s="6">
        <v>4</v>
      </c>
      <c r="J741" s="8">
        <v>488800</v>
      </c>
      <c r="K741" s="9">
        <v>0</v>
      </c>
      <c r="L741" s="10">
        <v>1955200</v>
      </c>
      <c r="M741" s="6">
        <v>1460000</v>
      </c>
      <c r="N741" s="6">
        <v>495200</v>
      </c>
      <c r="O741" s="6" t="s">
        <v>40</v>
      </c>
      <c r="P741" s="6" t="s">
        <v>32</v>
      </c>
      <c r="Q741" s="6" t="s">
        <v>26</v>
      </c>
    </row>
    <row r="742" spans="1:17" x14ac:dyDescent="0.3">
      <c r="A742" s="6" t="s">
        <v>1285</v>
      </c>
      <c r="B742" s="7">
        <v>46117</v>
      </c>
      <c r="C742" s="6" t="s">
        <v>732</v>
      </c>
      <c r="D742" s="6" t="s">
        <v>733</v>
      </c>
      <c r="E742" s="6" t="s">
        <v>36</v>
      </c>
      <c r="F742" s="6" t="s">
        <v>155</v>
      </c>
      <c r="G742" s="6" t="s">
        <v>38</v>
      </c>
      <c r="H742" s="6" t="s">
        <v>53</v>
      </c>
      <c r="I742" s="6">
        <v>7</v>
      </c>
      <c r="J742" s="8">
        <v>392600</v>
      </c>
      <c r="K742" s="9">
        <v>0.08</v>
      </c>
      <c r="L742" s="10">
        <v>2528344</v>
      </c>
      <c r="M742" s="6">
        <v>1960000</v>
      </c>
      <c r="N742" s="6">
        <v>568344</v>
      </c>
      <c r="O742" s="6" t="s">
        <v>40</v>
      </c>
      <c r="P742" s="6" t="s">
        <v>54</v>
      </c>
      <c r="Q742" s="6" t="s">
        <v>26</v>
      </c>
    </row>
    <row r="743" spans="1:17" x14ac:dyDescent="0.3">
      <c r="A743" s="6" t="s">
        <v>1286</v>
      </c>
      <c r="B743" s="7">
        <v>46117</v>
      </c>
      <c r="C743" s="6" t="s">
        <v>529</v>
      </c>
      <c r="D743" s="6" t="s">
        <v>530</v>
      </c>
      <c r="E743" s="6" t="s">
        <v>20</v>
      </c>
      <c r="F743" s="6" t="s">
        <v>123</v>
      </c>
      <c r="G743" s="6" t="s">
        <v>22</v>
      </c>
      <c r="H743" s="6" t="s">
        <v>58</v>
      </c>
      <c r="I743" s="6">
        <v>3</v>
      </c>
      <c r="J743" s="8">
        <v>87900</v>
      </c>
      <c r="K743" s="9">
        <v>0.08</v>
      </c>
      <c r="L743" s="10">
        <v>242604</v>
      </c>
      <c r="M743" s="6">
        <v>165000</v>
      </c>
      <c r="N743" s="6">
        <v>77604</v>
      </c>
      <c r="O743" s="6" t="s">
        <v>104</v>
      </c>
      <c r="P743" s="6" t="s">
        <v>63</v>
      </c>
      <c r="Q743" s="6" t="s">
        <v>26</v>
      </c>
    </row>
    <row r="744" spans="1:17" x14ac:dyDescent="0.3">
      <c r="A744" s="6" t="s">
        <v>1287</v>
      </c>
      <c r="B744" s="7">
        <v>46118</v>
      </c>
      <c r="C744" s="6" t="s">
        <v>1112</v>
      </c>
      <c r="D744" s="6" t="s">
        <v>1113</v>
      </c>
      <c r="E744" s="6" t="s">
        <v>20</v>
      </c>
      <c r="F744" s="6" t="s">
        <v>20</v>
      </c>
      <c r="G744" s="6" t="s">
        <v>38</v>
      </c>
      <c r="H744" s="6" t="s">
        <v>53</v>
      </c>
      <c r="I744" s="6">
        <v>5</v>
      </c>
      <c r="J744" s="8">
        <v>353000</v>
      </c>
      <c r="K744" s="9">
        <v>0.1</v>
      </c>
      <c r="L744" s="10">
        <v>1588500</v>
      </c>
      <c r="M744" s="6">
        <v>1400000</v>
      </c>
      <c r="N744" s="6">
        <v>188500</v>
      </c>
      <c r="O744" s="6" t="s">
        <v>31</v>
      </c>
      <c r="P744" s="6" t="s">
        <v>163</v>
      </c>
      <c r="Q744" s="6" t="s">
        <v>26</v>
      </c>
    </row>
    <row r="745" spans="1:17" x14ac:dyDescent="0.3">
      <c r="A745" s="6" t="s">
        <v>1288</v>
      </c>
      <c r="B745" s="7">
        <v>46119</v>
      </c>
      <c r="C745" s="6" t="s">
        <v>336</v>
      </c>
      <c r="D745" s="6" t="s">
        <v>337</v>
      </c>
      <c r="E745" s="6" t="s">
        <v>87</v>
      </c>
      <c r="F745" s="6" t="s">
        <v>135</v>
      </c>
      <c r="G745" s="6" t="s">
        <v>78</v>
      </c>
      <c r="H745" s="6" t="s">
        <v>188</v>
      </c>
      <c r="I745" s="6">
        <v>6</v>
      </c>
      <c r="J745" s="8">
        <v>87900</v>
      </c>
      <c r="K745" s="9">
        <v>0.02</v>
      </c>
      <c r="L745" s="10">
        <v>516852</v>
      </c>
      <c r="M745" s="6">
        <v>312000</v>
      </c>
      <c r="N745" s="6">
        <v>204852</v>
      </c>
      <c r="O745" s="6" t="s">
        <v>31</v>
      </c>
      <c r="P745" s="6" t="s">
        <v>32</v>
      </c>
      <c r="Q745" s="6" t="s">
        <v>26</v>
      </c>
    </row>
    <row r="746" spans="1:17" x14ac:dyDescent="0.3">
      <c r="A746" s="6" t="s">
        <v>1289</v>
      </c>
      <c r="B746" s="7">
        <v>46119</v>
      </c>
      <c r="C746" s="6" t="s">
        <v>268</v>
      </c>
      <c r="D746" s="6" t="s">
        <v>269</v>
      </c>
      <c r="E746" s="6" t="s">
        <v>67</v>
      </c>
      <c r="F746" s="6" t="s">
        <v>67</v>
      </c>
      <c r="G746" s="6" t="s">
        <v>38</v>
      </c>
      <c r="H746" s="6" t="s">
        <v>39</v>
      </c>
      <c r="I746" s="6">
        <v>6</v>
      </c>
      <c r="J746" s="8">
        <v>28000</v>
      </c>
      <c r="K746" s="9">
        <v>0.05</v>
      </c>
      <c r="L746" s="10">
        <v>159600</v>
      </c>
      <c r="M746" s="6">
        <v>90000</v>
      </c>
      <c r="N746" s="6">
        <v>69600</v>
      </c>
      <c r="O746" s="6" t="s">
        <v>68</v>
      </c>
      <c r="P746" s="6" t="s">
        <v>119</v>
      </c>
      <c r="Q746" s="6" t="s">
        <v>26</v>
      </c>
    </row>
    <row r="747" spans="1:17" x14ac:dyDescent="0.3">
      <c r="A747" s="6" t="s">
        <v>1290</v>
      </c>
      <c r="B747" s="7">
        <v>46120</v>
      </c>
      <c r="C747" s="6" t="s">
        <v>234</v>
      </c>
      <c r="D747" s="6" t="s">
        <v>235</v>
      </c>
      <c r="E747" s="6" t="s">
        <v>30</v>
      </c>
      <c r="F747" s="6" t="s">
        <v>222</v>
      </c>
      <c r="G747" s="6" t="s">
        <v>78</v>
      </c>
      <c r="H747" s="6" t="s">
        <v>318</v>
      </c>
      <c r="I747" s="6">
        <v>2</v>
      </c>
      <c r="J747" s="8">
        <v>79600</v>
      </c>
      <c r="K747" s="9">
        <v>0.15</v>
      </c>
      <c r="L747" s="10">
        <v>135320</v>
      </c>
      <c r="M747" s="6">
        <v>86000</v>
      </c>
      <c r="N747" s="6">
        <v>49320</v>
      </c>
      <c r="O747" s="6" t="s">
        <v>24</v>
      </c>
      <c r="P747" s="6" t="s">
        <v>32</v>
      </c>
      <c r="Q747" s="6" t="s">
        <v>26</v>
      </c>
    </row>
    <row r="748" spans="1:17" x14ac:dyDescent="0.3">
      <c r="A748" s="6" t="s">
        <v>1291</v>
      </c>
      <c r="B748" s="7">
        <v>46120</v>
      </c>
      <c r="C748" s="6" t="s">
        <v>102</v>
      </c>
      <c r="D748" s="6" t="s">
        <v>103</v>
      </c>
      <c r="E748" s="6" t="s">
        <v>36</v>
      </c>
      <c r="F748" s="6" t="s">
        <v>36</v>
      </c>
      <c r="G748" s="6" t="s">
        <v>38</v>
      </c>
      <c r="H748" s="6" t="s">
        <v>53</v>
      </c>
      <c r="I748" s="6">
        <v>5</v>
      </c>
      <c r="J748" s="8">
        <v>394800</v>
      </c>
      <c r="K748" s="9">
        <v>0.05</v>
      </c>
      <c r="L748" s="10">
        <v>1875300</v>
      </c>
      <c r="M748" s="6">
        <v>1400000</v>
      </c>
      <c r="N748" s="6">
        <v>475300</v>
      </c>
      <c r="O748" s="6" t="s">
        <v>31</v>
      </c>
      <c r="P748" s="6" t="s">
        <v>74</v>
      </c>
      <c r="Q748" s="6" t="s">
        <v>26</v>
      </c>
    </row>
    <row r="749" spans="1:17" x14ac:dyDescent="0.3">
      <c r="A749" s="6" t="s">
        <v>1292</v>
      </c>
      <c r="B749" s="7">
        <v>46120</v>
      </c>
      <c r="C749" s="6" t="s">
        <v>886</v>
      </c>
      <c r="D749" s="6" t="s">
        <v>887</v>
      </c>
      <c r="E749" s="6" t="s">
        <v>36</v>
      </c>
      <c r="F749" s="6" t="s">
        <v>36</v>
      </c>
      <c r="G749" s="6" t="s">
        <v>22</v>
      </c>
      <c r="H749" s="6" t="s">
        <v>83</v>
      </c>
      <c r="I749" s="6">
        <v>7</v>
      </c>
      <c r="J749" s="8">
        <v>634700</v>
      </c>
      <c r="K749" s="9">
        <v>0.08</v>
      </c>
      <c r="L749" s="10">
        <v>4087468</v>
      </c>
      <c r="M749" s="6">
        <v>3290000</v>
      </c>
      <c r="N749" s="6">
        <v>797468</v>
      </c>
      <c r="O749" s="6" t="s">
        <v>31</v>
      </c>
      <c r="P749" s="6" t="s">
        <v>32</v>
      </c>
      <c r="Q749" s="6" t="s">
        <v>26</v>
      </c>
    </row>
    <row r="750" spans="1:17" x14ac:dyDescent="0.3">
      <c r="A750" s="6" t="s">
        <v>1293</v>
      </c>
      <c r="B750" s="7">
        <v>46121</v>
      </c>
      <c r="C750" s="6" t="s">
        <v>693</v>
      </c>
      <c r="D750" s="6" t="s">
        <v>694</v>
      </c>
      <c r="E750" s="6" t="s">
        <v>87</v>
      </c>
      <c r="F750" s="6" t="s">
        <v>131</v>
      </c>
      <c r="G750" s="6" t="s">
        <v>38</v>
      </c>
      <c r="H750" s="6" t="s">
        <v>214</v>
      </c>
      <c r="I750" s="6">
        <v>6</v>
      </c>
      <c r="J750" s="8">
        <v>45300</v>
      </c>
      <c r="K750" s="9">
        <v>0</v>
      </c>
      <c r="L750" s="10">
        <v>271800</v>
      </c>
      <c r="M750" s="6">
        <v>156000</v>
      </c>
      <c r="N750" s="6">
        <v>115800</v>
      </c>
      <c r="O750" s="6" t="s">
        <v>40</v>
      </c>
      <c r="P750" s="6" t="s">
        <v>119</v>
      </c>
      <c r="Q750" s="6" t="s">
        <v>26</v>
      </c>
    </row>
    <row r="751" spans="1:17" x14ac:dyDescent="0.3">
      <c r="A751" s="6" t="s">
        <v>1294</v>
      </c>
      <c r="B751" s="7">
        <v>46121</v>
      </c>
      <c r="C751" s="6" t="s">
        <v>327</v>
      </c>
      <c r="D751" s="6" t="s">
        <v>328</v>
      </c>
      <c r="E751" s="6" t="s">
        <v>20</v>
      </c>
      <c r="F751" s="6" t="s">
        <v>123</v>
      </c>
      <c r="G751" s="6" t="s">
        <v>38</v>
      </c>
      <c r="H751" s="6" t="s">
        <v>39</v>
      </c>
      <c r="I751" s="6">
        <v>5</v>
      </c>
      <c r="J751" s="8">
        <v>29100</v>
      </c>
      <c r="K751" s="9">
        <v>0.05</v>
      </c>
      <c r="L751" s="10">
        <v>138225</v>
      </c>
      <c r="M751" s="6">
        <v>75000</v>
      </c>
      <c r="N751" s="6">
        <v>63225</v>
      </c>
      <c r="O751" s="6" t="s">
        <v>31</v>
      </c>
      <c r="P751" s="6" t="s">
        <v>25</v>
      </c>
      <c r="Q751" s="6" t="s">
        <v>26</v>
      </c>
    </row>
    <row r="752" spans="1:17" x14ac:dyDescent="0.3">
      <c r="A752" s="6" t="s">
        <v>1295</v>
      </c>
      <c r="B752" s="7">
        <v>46124</v>
      </c>
      <c r="C752" s="6" t="s">
        <v>985</v>
      </c>
      <c r="D752" s="6" t="s">
        <v>986</v>
      </c>
      <c r="E752" s="6" t="s">
        <v>30</v>
      </c>
      <c r="F752" s="6" t="s">
        <v>222</v>
      </c>
      <c r="G752" s="6" t="s">
        <v>78</v>
      </c>
      <c r="H752" s="6" t="s">
        <v>79</v>
      </c>
      <c r="I752" s="6">
        <v>2</v>
      </c>
      <c r="J752" s="8">
        <v>31800</v>
      </c>
      <c r="K752" s="9">
        <v>0</v>
      </c>
      <c r="L752" s="10">
        <v>-63600</v>
      </c>
      <c r="M752" s="6">
        <v>-36000</v>
      </c>
      <c r="N752" s="6">
        <v>-27600</v>
      </c>
      <c r="O752" s="6" t="s">
        <v>24</v>
      </c>
      <c r="P752" s="6" t="s">
        <v>32</v>
      </c>
      <c r="Q752" s="6" t="s">
        <v>105</v>
      </c>
    </row>
    <row r="753" spans="1:17" x14ac:dyDescent="0.3">
      <c r="A753" s="6" t="s">
        <v>1296</v>
      </c>
      <c r="B753" s="7">
        <v>46125</v>
      </c>
      <c r="C753" s="6" t="s">
        <v>736</v>
      </c>
      <c r="D753" s="6" t="s">
        <v>737</v>
      </c>
      <c r="E753" s="6" t="s">
        <v>36</v>
      </c>
      <c r="F753" s="6" t="s">
        <v>36</v>
      </c>
      <c r="G753" s="6" t="s">
        <v>22</v>
      </c>
      <c r="H753" s="6" t="s">
        <v>58</v>
      </c>
      <c r="I753" s="6">
        <v>6</v>
      </c>
      <c r="J753" s="8">
        <v>101400</v>
      </c>
      <c r="K753" s="9">
        <v>0.02</v>
      </c>
      <c r="L753" s="10">
        <v>596232</v>
      </c>
      <c r="M753" s="6">
        <v>330000</v>
      </c>
      <c r="N753" s="6">
        <v>266232</v>
      </c>
      <c r="O753" s="6" t="s">
        <v>104</v>
      </c>
      <c r="P753" s="6" t="s">
        <v>163</v>
      </c>
      <c r="Q753" s="6" t="s">
        <v>26</v>
      </c>
    </row>
    <row r="754" spans="1:17" x14ac:dyDescent="0.3">
      <c r="A754" s="6" t="s">
        <v>1297</v>
      </c>
      <c r="B754" s="7">
        <v>46125</v>
      </c>
      <c r="C754" s="6" t="s">
        <v>521</v>
      </c>
      <c r="D754" s="6" t="s">
        <v>522</v>
      </c>
      <c r="E754" s="6" t="s">
        <v>36</v>
      </c>
      <c r="F754" s="6" t="s">
        <v>37</v>
      </c>
      <c r="G754" s="6" t="s">
        <v>22</v>
      </c>
      <c r="H754" s="6" t="s">
        <v>23</v>
      </c>
      <c r="I754" s="6">
        <v>5</v>
      </c>
      <c r="J754" s="8">
        <v>447300</v>
      </c>
      <c r="K754" s="9">
        <v>0.02</v>
      </c>
      <c r="L754" s="10">
        <v>0</v>
      </c>
      <c r="M754" s="6">
        <v>0</v>
      </c>
      <c r="N754" s="6">
        <v>0</v>
      </c>
      <c r="O754" s="6" t="s">
        <v>40</v>
      </c>
      <c r="P754" s="6" t="s">
        <v>90</v>
      </c>
      <c r="Q754" s="6" t="s">
        <v>69</v>
      </c>
    </row>
    <row r="755" spans="1:17" x14ac:dyDescent="0.3">
      <c r="A755" s="6" t="s">
        <v>1298</v>
      </c>
      <c r="B755" s="7">
        <v>46126</v>
      </c>
      <c r="C755" s="6" t="s">
        <v>342</v>
      </c>
      <c r="D755" s="6" t="s">
        <v>343</v>
      </c>
      <c r="E755" s="6" t="s">
        <v>30</v>
      </c>
      <c r="F755" s="6" t="s">
        <v>30</v>
      </c>
      <c r="G755" s="6" t="s">
        <v>22</v>
      </c>
      <c r="H755" s="6" t="s">
        <v>49</v>
      </c>
      <c r="I755" s="6">
        <v>7</v>
      </c>
      <c r="J755" s="8">
        <v>1340000</v>
      </c>
      <c r="K755" s="9">
        <v>0</v>
      </c>
      <c r="L755" s="10">
        <v>9380000</v>
      </c>
      <c r="M755" s="6">
        <v>6650000</v>
      </c>
      <c r="N755" s="6">
        <v>2730000</v>
      </c>
      <c r="O755" s="6" t="s">
        <v>40</v>
      </c>
      <c r="P755" s="6" t="s">
        <v>32</v>
      </c>
      <c r="Q755" s="6" t="s">
        <v>26</v>
      </c>
    </row>
    <row r="756" spans="1:17" x14ac:dyDescent="0.3">
      <c r="A756" s="6" t="s">
        <v>1299</v>
      </c>
      <c r="B756" s="7">
        <v>46128</v>
      </c>
      <c r="C756" s="6" t="s">
        <v>47</v>
      </c>
      <c r="D756" s="6" t="s">
        <v>48</v>
      </c>
      <c r="E756" s="6" t="s">
        <v>20</v>
      </c>
      <c r="F756" s="6" t="s">
        <v>62</v>
      </c>
      <c r="G756" s="6" t="s">
        <v>44</v>
      </c>
      <c r="H756" s="6" t="s">
        <v>73</v>
      </c>
      <c r="I756" s="6">
        <v>6</v>
      </c>
      <c r="J756" s="8">
        <v>294700</v>
      </c>
      <c r="K756" s="9">
        <v>0</v>
      </c>
      <c r="L756" s="10">
        <v>1768200</v>
      </c>
      <c r="M756" s="6">
        <v>1260000</v>
      </c>
      <c r="N756" s="6">
        <v>508200</v>
      </c>
      <c r="O756" s="6" t="s">
        <v>40</v>
      </c>
      <c r="P756" s="6" t="s">
        <v>90</v>
      </c>
      <c r="Q756" s="6" t="s">
        <v>26</v>
      </c>
    </row>
    <row r="757" spans="1:17" x14ac:dyDescent="0.3">
      <c r="A757" s="6" t="s">
        <v>1300</v>
      </c>
      <c r="B757" s="7">
        <v>46128</v>
      </c>
      <c r="C757" s="6" t="s">
        <v>903</v>
      </c>
      <c r="D757" s="6" t="s">
        <v>904</v>
      </c>
      <c r="E757" s="6" t="s">
        <v>30</v>
      </c>
      <c r="F757" s="6" t="s">
        <v>159</v>
      </c>
      <c r="G757" s="6" t="s">
        <v>22</v>
      </c>
      <c r="H757" s="6" t="s">
        <v>83</v>
      </c>
      <c r="I757" s="6">
        <v>2</v>
      </c>
      <c r="J757" s="8">
        <v>683700</v>
      </c>
      <c r="K757" s="9">
        <v>0.08</v>
      </c>
      <c r="L757" s="10">
        <v>1258008</v>
      </c>
      <c r="M757" s="6">
        <v>940000</v>
      </c>
      <c r="N757" s="6">
        <v>318008</v>
      </c>
      <c r="O757" s="6" t="s">
        <v>40</v>
      </c>
      <c r="P757" s="6" t="s">
        <v>90</v>
      </c>
      <c r="Q757" s="6" t="s">
        <v>26</v>
      </c>
    </row>
    <row r="758" spans="1:17" x14ac:dyDescent="0.3">
      <c r="A758" s="6" t="s">
        <v>1301</v>
      </c>
      <c r="B758" s="7">
        <v>46128</v>
      </c>
      <c r="C758" s="6" t="s">
        <v>174</v>
      </c>
      <c r="D758" s="6" t="s">
        <v>175</v>
      </c>
      <c r="E758" s="6" t="s">
        <v>20</v>
      </c>
      <c r="F758" s="6" t="s">
        <v>62</v>
      </c>
      <c r="G758" s="6" t="s">
        <v>22</v>
      </c>
      <c r="H758" s="6" t="s">
        <v>83</v>
      </c>
      <c r="I758" s="6">
        <v>4</v>
      </c>
      <c r="J758" s="8">
        <v>613800</v>
      </c>
      <c r="K758" s="9">
        <v>0</v>
      </c>
      <c r="L758" s="10">
        <v>2455200</v>
      </c>
      <c r="M758" s="6">
        <v>1880000</v>
      </c>
      <c r="N758" s="6">
        <v>575200</v>
      </c>
      <c r="O758" s="6" t="s">
        <v>24</v>
      </c>
      <c r="P758" s="6" t="s">
        <v>163</v>
      </c>
      <c r="Q758" s="6" t="s">
        <v>26</v>
      </c>
    </row>
    <row r="759" spans="1:17" x14ac:dyDescent="0.3">
      <c r="A759" s="6" t="s">
        <v>1302</v>
      </c>
      <c r="B759" s="7">
        <v>46128</v>
      </c>
      <c r="C759" s="6" t="s">
        <v>616</v>
      </c>
      <c r="D759" s="6" t="s">
        <v>617</v>
      </c>
      <c r="E759" s="6" t="s">
        <v>30</v>
      </c>
      <c r="F759" s="6" t="s">
        <v>222</v>
      </c>
      <c r="G759" s="6" t="s">
        <v>78</v>
      </c>
      <c r="H759" s="6" t="s">
        <v>318</v>
      </c>
      <c r="I759" s="6">
        <v>5</v>
      </c>
      <c r="J759" s="8">
        <v>75400</v>
      </c>
      <c r="K759" s="9">
        <v>0.08</v>
      </c>
      <c r="L759" s="10">
        <v>346840</v>
      </c>
      <c r="M759" s="6">
        <v>215000</v>
      </c>
      <c r="N759" s="6">
        <v>131840</v>
      </c>
      <c r="O759" s="6" t="s">
        <v>24</v>
      </c>
      <c r="P759" s="6" t="s">
        <v>90</v>
      </c>
      <c r="Q759" s="6" t="s">
        <v>26</v>
      </c>
    </row>
    <row r="760" spans="1:17" x14ac:dyDescent="0.3">
      <c r="A760" s="6" t="s">
        <v>1303</v>
      </c>
      <c r="B760" s="7">
        <v>46129</v>
      </c>
      <c r="C760" s="6" t="s">
        <v>603</v>
      </c>
      <c r="D760" s="6" t="s">
        <v>604</v>
      </c>
      <c r="E760" s="6" t="s">
        <v>20</v>
      </c>
      <c r="F760" s="6" t="s">
        <v>123</v>
      </c>
      <c r="G760" s="6" t="s">
        <v>44</v>
      </c>
      <c r="H760" s="6" t="s">
        <v>45</v>
      </c>
      <c r="I760" s="6">
        <v>3</v>
      </c>
      <c r="J760" s="8">
        <v>542600</v>
      </c>
      <c r="K760" s="9">
        <v>0</v>
      </c>
      <c r="L760" s="10">
        <v>1627800</v>
      </c>
      <c r="M760" s="6">
        <v>1095000</v>
      </c>
      <c r="N760" s="6">
        <v>532800</v>
      </c>
      <c r="O760" s="6" t="s">
        <v>40</v>
      </c>
      <c r="P760" s="6" t="s">
        <v>74</v>
      </c>
      <c r="Q760" s="6" t="s">
        <v>26</v>
      </c>
    </row>
    <row r="761" spans="1:17" x14ac:dyDescent="0.3">
      <c r="A761" s="6" t="s">
        <v>1304</v>
      </c>
      <c r="B761" s="7">
        <v>46129</v>
      </c>
      <c r="C761" s="6" t="s">
        <v>661</v>
      </c>
      <c r="D761" s="6" t="s">
        <v>662</v>
      </c>
      <c r="E761" s="6" t="s">
        <v>20</v>
      </c>
      <c r="F761" s="6" t="s">
        <v>62</v>
      </c>
      <c r="G761" s="6" t="s">
        <v>22</v>
      </c>
      <c r="H761" s="6" t="s">
        <v>23</v>
      </c>
      <c r="I761" s="6">
        <v>1</v>
      </c>
      <c r="J761" s="8">
        <v>402500</v>
      </c>
      <c r="K761" s="9">
        <v>0.08</v>
      </c>
      <c r="L761" s="10">
        <v>370300</v>
      </c>
      <c r="M761" s="6">
        <v>300000</v>
      </c>
      <c r="N761" s="6">
        <v>70300</v>
      </c>
      <c r="O761" s="6" t="s">
        <v>31</v>
      </c>
      <c r="P761" s="6" t="s">
        <v>74</v>
      </c>
      <c r="Q761" s="6" t="s">
        <v>26</v>
      </c>
    </row>
    <row r="762" spans="1:17" x14ac:dyDescent="0.3">
      <c r="A762" s="6" t="s">
        <v>1305</v>
      </c>
      <c r="B762" s="7">
        <v>46129</v>
      </c>
      <c r="C762" s="6" t="s">
        <v>143</v>
      </c>
      <c r="D762" s="6" t="s">
        <v>144</v>
      </c>
      <c r="E762" s="6" t="s">
        <v>30</v>
      </c>
      <c r="F762" s="6" t="s">
        <v>30</v>
      </c>
      <c r="G762" s="6" t="s">
        <v>22</v>
      </c>
      <c r="H762" s="6" t="s">
        <v>83</v>
      </c>
      <c r="I762" s="6">
        <v>4</v>
      </c>
      <c r="J762" s="8">
        <v>623700</v>
      </c>
      <c r="K762" s="9">
        <v>0.08</v>
      </c>
      <c r="L762" s="10">
        <v>2295216</v>
      </c>
      <c r="M762" s="6">
        <v>1880000</v>
      </c>
      <c r="N762" s="6">
        <v>415216</v>
      </c>
      <c r="O762" s="6" t="s">
        <v>31</v>
      </c>
      <c r="P762" s="6" t="s">
        <v>32</v>
      </c>
      <c r="Q762" s="6" t="s">
        <v>26</v>
      </c>
    </row>
    <row r="763" spans="1:17" x14ac:dyDescent="0.3">
      <c r="A763" s="6" t="s">
        <v>1306</v>
      </c>
      <c r="B763" s="7">
        <v>46129</v>
      </c>
      <c r="C763" s="6" t="s">
        <v>60</v>
      </c>
      <c r="D763" s="6" t="s">
        <v>61</v>
      </c>
      <c r="E763" s="6" t="s">
        <v>87</v>
      </c>
      <c r="F763" s="6" t="s">
        <v>135</v>
      </c>
      <c r="G763" s="6" t="s">
        <v>22</v>
      </c>
      <c r="H763" s="6" t="s">
        <v>58</v>
      </c>
      <c r="I763" s="6">
        <v>6</v>
      </c>
      <c r="J763" s="8">
        <v>89600</v>
      </c>
      <c r="K763" s="9">
        <v>0.05</v>
      </c>
      <c r="L763" s="10">
        <v>510720</v>
      </c>
      <c r="M763" s="6">
        <v>330000</v>
      </c>
      <c r="N763" s="6">
        <v>180720</v>
      </c>
      <c r="O763" s="6" t="s">
        <v>40</v>
      </c>
      <c r="P763" s="6" t="s">
        <v>54</v>
      </c>
      <c r="Q763" s="6" t="s">
        <v>26</v>
      </c>
    </row>
    <row r="764" spans="1:17" x14ac:dyDescent="0.3">
      <c r="A764" s="6" t="s">
        <v>1307</v>
      </c>
      <c r="B764" s="7">
        <v>46130</v>
      </c>
      <c r="C764" s="6" t="s">
        <v>274</v>
      </c>
      <c r="D764" s="6" t="s">
        <v>275</v>
      </c>
      <c r="E764" s="6" t="s">
        <v>67</v>
      </c>
      <c r="F764" s="6" t="s">
        <v>236</v>
      </c>
      <c r="G764" s="6" t="s">
        <v>44</v>
      </c>
      <c r="H764" s="6" t="s">
        <v>45</v>
      </c>
      <c r="I764" s="6">
        <v>6</v>
      </c>
      <c r="J764" s="8">
        <v>535600</v>
      </c>
      <c r="K764" s="9">
        <v>0.02</v>
      </c>
      <c r="L764" s="10">
        <v>3149328</v>
      </c>
      <c r="M764" s="6">
        <v>2190000</v>
      </c>
      <c r="N764" s="6">
        <v>959328</v>
      </c>
      <c r="O764" s="6" t="s">
        <v>40</v>
      </c>
      <c r="P764" s="6" t="s">
        <v>90</v>
      </c>
      <c r="Q764" s="6" t="s">
        <v>26</v>
      </c>
    </row>
    <row r="765" spans="1:17" x14ac:dyDescent="0.3">
      <c r="A765" s="6" t="s">
        <v>1308</v>
      </c>
      <c r="B765" s="7">
        <v>46131</v>
      </c>
      <c r="C765" s="6" t="s">
        <v>324</v>
      </c>
      <c r="D765" s="6" t="s">
        <v>325</v>
      </c>
      <c r="E765" s="6" t="s">
        <v>36</v>
      </c>
      <c r="F765" s="6" t="s">
        <v>37</v>
      </c>
      <c r="G765" s="6" t="s">
        <v>78</v>
      </c>
      <c r="H765" s="6" t="s">
        <v>318</v>
      </c>
      <c r="I765" s="6">
        <v>6</v>
      </c>
      <c r="J765" s="8">
        <v>74100</v>
      </c>
      <c r="K765" s="9">
        <v>0</v>
      </c>
      <c r="L765" s="10">
        <v>444600</v>
      </c>
      <c r="M765" s="6">
        <v>258000</v>
      </c>
      <c r="N765" s="6">
        <v>186600</v>
      </c>
      <c r="O765" s="6" t="s">
        <v>40</v>
      </c>
      <c r="P765" s="6" t="s">
        <v>32</v>
      </c>
      <c r="Q765" s="6" t="s">
        <v>26</v>
      </c>
    </row>
    <row r="766" spans="1:17" x14ac:dyDescent="0.3">
      <c r="A766" s="6" t="s">
        <v>1309</v>
      </c>
      <c r="B766" s="7">
        <v>46131</v>
      </c>
      <c r="C766" s="6" t="s">
        <v>268</v>
      </c>
      <c r="D766" s="6" t="s">
        <v>269</v>
      </c>
      <c r="E766" s="6" t="s">
        <v>36</v>
      </c>
      <c r="F766" s="6" t="s">
        <v>36</v>
      </c>
      <c r="G766" s="6" t="s">
        <v>22</v>
      </c>
      <c r="H766" s="6" t="s">
        <v>58</v>
      </c>
      <c r="I766" s="6">
        <v>7</v>
      </c>
      <c r="J766" s="8">
        <v>91400</v>
      </c>
      <c r="K766" s="9">
        <v>0</v>
      </c>
      <c r="L766" s="10">
        <v>639800</v>
      </c>
      <c r="M766" s="6">
        <v>385000</v>
      </c>
      <c r="N766" s="6">
        <v>254800</v>
      </c>
      <c r="O766" s="6" t="s">
        <v>68</v>
      </c>
      <c r="P766" s="6" t="s">
        <v>32</v>
      </c>
      <c r="Q766" s="6" t="s">
        <v>26</v>
      </c>
    </row>
    <row r="767" spans="1:17" x14ac:dyDescent="0.3">
      <c r="A767" s="6" t="s">
        <v>1310</v>
      </c>
      <c r="B767" s="7">
        <v>46131</v>
      </c>
      <c r="C767" s="6" t="s">
        <v>627</v>
      </c>
      <c r="D767" s="6" t="s">
        <v>628</v>
      </c>
      <c r="E767" s="6" t="s">
        <v>20</v>
      </c>
      <c r="F767" s="6" t="s">
        <v>20</v>
      </c>
      <c r="G767" s="6" t="s">
        <v>38</v>
      </c>
      <c r="H767" s="6" t="s">
        <v>39</v>
      </c>
      <c r="I767" s="6">
        <v>6</v>
      </c>
      <c r="J767" s="8">
        <v>25800</v>
      </c>
      <c r="K767" s="9">
        <v>0.1</v>
      </c>
      <c r="L767" s="10">
        <v>-139320</v>
      </c>
      <c r="M767" s="6">
        <v>-90000</v>
      </c>
      <c r="N767" s="6">
        <v>-49320</v>
      </c>
      <c r="O767" s="6" t="s">
        <v>68</v>
      </c>
      <c r="P767" s="6" t="s">
        <v>63</v>
      </c>
      <c r="Q767" s="6" t="s">
        <v>105</v>
      </c>
    </row>
    <row r="768" spans="1:17" x14ac:dyDescent="0.3">
      <c r="A768" s="6" t="s">
        <v>1311</v>
      </c>
      <c r="B768" s="7">
        <v>46131</v>
      </c>
      <c r="C768" s="6" t="s">
        <v>554</v>
      </c>
      <c r="D768" s="6" t="s">
        <v>555</v>
      </c>
      <c r="E768" s="6" t="s">
        <v>20</v>
      </c>
      <c r="F768" s="6" t="s">
        <v>123</v>
      </c>
      <c r="G768" s="6" t="s">
        <v>38</v>
      </c>
      <c r="H768" s="6" t="s">
        <v>127</v>
      </c>
      <c r="I768" s="6">
        <v>7</v>
      </c>
      <c r="J768" s="8">
        <v>225900</v>
      </c>
      <c r="K768" s="9">
        <v>0.05</v>
      </c>
      <c r="L768" s="10">
        <v>1502235</v>
      </c>
      <c r="M768" s="6">
        <v>1155000</v>
      </c>
      <c r="N768" s="6">
        <v>347235</v>
      </c>
      <c r="O768" s="6" t="s">
        <v>24</v>
      </c>
      <c r="P768" s="6" t="s">
        <v>119</v>
      </c>
      <c r="Q768" s="6" t="s">
        <v>26</v>
      </c>
    </row>
    <row r="769" spans="1:17" x14ac:dyDescent="0.3">
      <c r="A769" s="6" t="s">
        <v>1312</v>
      </c>
      <c r="B769" s="7">
        <v>46131</v>
      </c>
      <c r="C769" s="6" t="s">
        <v>568</v>
      </c>
      <c r="D769" s="6" t="s">
        <v>569</v>
      </c>
      <c r="E769" s="6" t="s">
        <v>20</v>
      </c>
      <c r="F769" s="6" t="s">
        <v>123</v>
      </c>
      <c r="G769" s="6" t="s">
        <v>22</v>
      </c>
      <c r="H769" s="6" t="s">
        <v>83</v>
      </c>
      <c r="I769" s="6">
        <v>3</v>
      </c>
      <c r="J769" s="8">
        <v>610700</v>
      </c>
      <c r="K769" s="9">
        <v>0</v>
      </c>
      <c r="L769" s="10">
        <v>-1832100</v>
      </c>
      <c r="M769" s="6">
        <v>-1410000</v>
      </c>
      <c r="N769" s="6">
        <v>-422100</v>
      </c>
      <c r="O769" s="6" t="s">
        <v>104</v>
      </c>
      <c r="P769" s="6" t="s">
        <v>32</v>
      </c>
      <c r="Q769" s="6" t="s">
        <v>105</v>
      </c>
    </row>
    <row r="770" spans="1:17" x14ac:dyDescent="0.3">
      <c r="A770" s="6" t="s">
        <v>1313</v>
      </c>
      <c r="B770" s="7">
        <v>46132</v>
      </c>
      <c r="C770" s="6" t="s">
        <v>752</v>
      </c>
      <c r="D770" s="6" t="s">
        <v>753</v>
      </c>
      <c r="E770" s="6" t="s">
        <v>20</v>
      </c>
      <c r="F770" s="6" t="s">
        <v>123</v>
      </c>
      <c r="G770" s="6" t="s">
        <v>22</v>
      </c>
      <c r="H770" s="6" t="s">
        <v>58</v>
      </c>
      <c r="I770" s="6">
        <v>7</v>
      </c>
      <c r="J770" s="8">
        <v>90600</v>
      </c>
      <c r="K770" s="9">
        <v>0.05</v>
      </c>
      <c r="L770" s="10">
        <v>602490</v>
      </c>
      <c r="M770" s="6">
        <v>385000</v>
      </c>
      <c r="N770" s="6">
        <v>217490</v>
      </c>
      <c r="O770" s="6" t="s">
        <v>31</v>
      </c>
      <c r="P770" s="6" t="s">
        <v>54</v>
      </c>
      <c r="Q770" s="6" t="s">
        <v>26</v>
      </c>
    </row>
    <row r="771" spans="1:17" x14ac:dyDescent="0.3">
      <c r="A771" s="6" t="s">
        <v>1314</v>
      </c>
      <c r="B771" s="7">
        <v>46132</v>
      </c>
      <c r="C771" s="6" t="s">
        <v>1136</v>
      </c>
      <c r="D771" s="6" t="s">
        <v>1137</v>
      </c>
      <c r="E771" s="6" t="s">
        <v>30</v>
      </c>
      <c r="F771" s="6" t="s">
        <v>30</v>
      </c>
      <c r="G771" s="6" t="s">
        <v>38</v>
      </c>
      <c r="H771" s="6" t="s">
        <v>39</v>
      </c>
      <c r="I771" s="6">
        <v>4</v>
      </c>
      <c r="J771" s="8">
        <v>29800</v>
      </c>
      <c r="K771" s="9">
        <v>0.02</v>
      </c>
      <c r="L771" s="10">
        <v>116816</v>
      </c>
      <c r="M771" s="6">
        <v>60000</v>
      </c>
      <c r="N771" s="6">
        <v>56816</v>
      </c>
      <c r="O771" s="6" t="s">
        <v>24</v>
      </c>
      <c r="P771" s="6" t="s">
        <v>119</v>
      </c>
      <c r="Q771" s="6" t="s">
        <v>26</v>
      </c>
    </row>
    <row r="772" spans="1:17" x14ac:dyDescent="0.3">
      <c r="A772" s="6" t="s">
        <v>1315</v>
      </c>
      <c r="B772" s="7">
        <v>46133</v>
      </c>
      <c r="C772" s="6" t="s">
        <v>610</v>
      </c>
      <c r="D772" s="6" t="s">
        <v>611</v>
      </c>
      <c r="E772" s="6" t="s">
        <v>20</v>
      </c>
      <c r="F772" s="6" t="s">
        <v>62</v>
      </c>
      <c r="G772" s="6" t="s">
        <v>78</v>
      </c>
      <c r="H772" s="6" t="s">
        <v>79</v>
      </c>
      <c r="I772" s="6">
        <v>5</v>
      </c>
      <c r="J772" s="8">
        <v>31100</v>
      </c>
      <c r="K772" s="9">
        <v>0.08</v>
      </c>
      <c r="L772" s="10">
        <v>143060</v>
      </c>
      <c r="M772" s="6">
        <v>90000</v>
      </c>
      <c r="N772" s="6">
        <v>53060</v>
      </c>
      <c r="O772" s="6" t="s">
        <v>31</v>
      </c>
      <c r="P772" s="6" t="s">
        <v>90</v>
      </c>
      <c r="Q772" s="6" t="s">
        <v>26</v>
      </c>
    </row>
    <row r="773" spans="1:17" x14ac:dyDescent="0.3">
      <c r="A773" s="6" t="s">
        <v>1316</v>
      </c>
      <c r="B773" s="7">
        <v>46133</v>
      </c>
      <c r="C773" s="6" t="s">
        <v>550</v>
      </c>
      <c r="D773" s="6" t="s">
        <v>551</v>
      </c>
      <c r="E773" s="6" t="s">
        <v>30</v>
      </c>
      <c r="F773" s="6" t="s">
        <v>159</v>
      </c>
      <c r="G773" s="6" t="s">
        <v>44</v>
      </c>
      <c r="H773" s="6" t="s">
        <v>89</v>
      </c>
      <c r="I773" s="6">
        <v>5</v>
      </c>
      <c r="J773" s="8">
        <v>192400</v>
      </c>
      <c r="K773" s="9">
        <v>0.02</v>
      </c>
      <c r="L773" s="10">
        <v>942760</v>
      </c>
      <c r="M773" s="6">
        <v>575000</v>
      </c>
      <c r="N773" s="6">
        <v>367760</v>
      </c>
      <c r="O773" s="6" t="s">
        <v>40</v>
      </c>
      <c r="P773" s="6" t="s">
        <v>119</v>
      </c>
      <c r="Q773" s="6" t="s">
        <v>26</v>
      </c>
    </row>
    <row r="774" spans="1:17" x14ac:dyDescent="0.3">
      <c r="A774" s="6" t="s">
        <v>1317</v>
      </c>
      <c r="B774" s="7">
        <v>46133</v>
      </c>
      <c r="C774" s="6" t="s">
        <v>174</v>
      </c>
      <c r="D774" s="6" t="s">
        <v>175</v>
      </c>
      <c r="E774" s="6" t="s">
        <v>20</v>
      </c>
      <c r="F774" s="6" t="s">
        <v>20</v>
      </c>
      <c r="G774" s="6" t="s">
        <v>22</v>
      </c>
      <c r="H774" s="6" t="s">
        <v>58</v>
      </c>
      <c r="I774" s="6">
        <v>2</v>
      </c>
      <c r="J774" s="8">
        <v>99300</v>
      </c>
      <c r="K774" s="9">
        <v>0.02</v>
      </c>
      <c r="L774" s="10">
        <v>194628</v>
      </c>
      <c r="M774" s="6">
        <v>110000</v>
      </c>
      <c r="N774" s="6">
        <v>84628</v>
      </c>
      <c r="O774" s="6" t="s">
        <v>24</v>
      </c>
      <c r="P774" s="6" t="s">
        <v>163</v>
      </c>
      <c r="Q774" s="6" t="s">
        <v>26</v>
      </c>
    </row>
    <row r="775" spans="1:17" x14ac:dyDescent="0.3">
      <c r="A775" s="6" t="s">
        <v>1318</v>
      </c>
      <c r="B775" s="7">
        <v>46134</v>
      </c>
      <c r="C775" s="6" t="s">
        <v>917</v>
      </c>
      <c r="D775" s="6" t="s">
        <v>918</v>
      </c>
      <c r="E775" s="6" t="s">
        <v>20</v>
      </c>
      <c r="F775" s="6" t="s">
        <v>20</v>
      </c>
      <c r="G775" s="6" t="s">
        <v>78</v>
      </c>
      <c r="H775" s="6" t="s">
        <v>318</v>
      </c>
      <c r="I775" s="6">
        <v>5</v>
      </c>
      <c r="J775" s="8">
        <v>79300</v>
      </c>
      <c r="K775" s="9">
        <v>0</v>
      </c>
      <c r="L775" s="10">
        <v>396500</v>
      </c>
      <c r="M775" s="6">
        <v>215000</v>
      </c>
      <c r="N775" s="6">
        <v>181500</v>
      </c>
      <c r="O775" s="6" t="s">
        <v>68</v>
      </c>
      <c r="P775" s="6" t="s">
        <v>54</v>
      </c>
      <c r="Q775" s="6" t="s">
        <v>26</v>
      </c>
    </row>
    <row r="776" spans="1:17" x14ac:dyDescent="0.3">
      <c r="A776" s="6" t="s">
        <v>1319</v>
      </c>
      <c r="B776" s="7">
        <v>46134</v>
      </c>
      <c r="C776" s="6" t="s">
        <v>814</v>
      </c>
      <c r="D776" s="6" t="s">
        <v>815</v>
      </c>
      <c r="E776" s="6" t="s">
        <v>36</v>
      </c>
      <c r="F776" s="6" t="s">
        <v>37</v>
      </c>
      <c r="G776" s="6" t="s">
        <v>22</v>
      </c>
      <c r="H776" s="6" t="s">
        <v>23</v>
      </c>
      <c r="I776" s="6">
        <v>2</v>
      </c>
      <c r="J776" s="8">
        <v>421500</v>
      </c>
      <c r="K776" s="9">
        <v>0.05</v>
      </c>
      <c r="L776" s="10">
        <v>800850</v>
      </c>
      <c r="M776" s="6">
        <v>600000</v>
      </c>
      <c r="N776" s="6">
        <v>200850</v>
      </c>
      <c r="O776" s="6" t="s">
        <v>104</v>
      </c>
      <c r="P776" s="6" t="s">
        <v>54</v>
      </c>
      <c r="Q776" s="6" t="s">
        <v>26</v>
      </c>
    </row>
    <row r="777" spans="1:17" x14ac:dyDescent="0.3">
      <c r="A777" s="6" t="s">
        <v>1320</v>
      </c>
      <c r="B777" s="7">
        <v>46137</v>
      </c>
      <c r="C777" s="6" t="s">
        <v>495</v>
      </c>
      <c r="D777" s="6" t="s">
        <v>496</v>
      </c>
      <c r="E777" s="6" t="s">
        <v>20</v>
      </c>
      <c r="F777" s="6" t="s">
        <v>20</v>
      </c>
      <c r="G777" s="6" t="s">
        <v>38</v>
      </c>
      <c r="H777" s="6" t="s">
        <v>127</v>
      </c>
      <c r="I777" s="6">
        <v>4</v>
      </c>
      <c r="J777" s="8">
        <v>245100</v>
      </c>
      <c r="K777" s="9">
        <v>0</v>
      </c>
      <c r="L777" s="10">
        <v>980400</v>
      </c>
      <c r="M777" s="6">
        <v>660000</v>
      </c>
      <c r="N777" s="6">
        <v>320400</v>
      </c>
      <c r="O777" s="6" t="s">
        <v>40</v>
      </c>
      <c r="P777" s="6" t="s">
        <v>74</v>
      </c>
      <c r="Q777" s="6" t="s">
        <v>26</v>
      </c>
    </row>
    <row r="778" spans="1:17" x14ac:dyDescent="0.3">
      <c r="A778" s="6" t="s">
        <v>1321</v>
      </c>
      <c r="B778" s="7">
        <v>46138</v>
      </c>
      <c r="C778" s="6" t="s">
        <v>117</v>
      </c>
      <c r="D778" s="6" t="s">
        <v>118</v>
      </c>
      <c r="E778" s="6" t="s">
        <v>20</v>
      </c>
      <c r="F778" s="6" t="s">
        <v>20</v>
      </c>
      <c r="G778" s="6" t="s">
        <v>38</v>
      </c>
      <c r="H778" s="6" t="s">
        <v>127</v>
      </c>
      <c r="I778" s="6">
        <v>3</v>
      </c>
      <c r="J778" s="8">
        <v>250300</v>
      </c>
      <c r="K778" s="9">
        <v>0</v>
      </c>
      <c r="L778" s="10">
        <v>0</v>
      </c>
      <c r="M778" s="6">
        <v>0</v>
      </c>
      <c r="N778" s="6">
        <v>0</v>
      </c>
      <c r="O778" s="6" t="s">
        <v>31</v>
      </c>
      <c r="P778" s="6" t="s">
        <v>119</v>
      </c>
      <c r="Q778" s="6" t="s">
        <v>69</v>
      </c>
    </row>
    <row r="779" spans="1:17" x14ac:dyDescent="0.3">
      <c r="A779" s="6" t="s">
        <v>1322</v>
      </c>
      <c r="B779" s="7">
        <v>46139</v>
      </c>
      <c r="C779" s="6" t="s">
        <v>51</v>
      </c>
      <c r="D779" s="6" t="s">
        <v>52</v>
      </c>
      <c r="E779" s="6" t="s">
        <v>30</v>
      </c>
      <c r="F779" s="6" t="s">
        <v>30</v>
      </c>
      <c r="G779" s="6" t="s">
        <v>44</v>
      </c>
      <c r="H779" s="6" t="s">
        <v>89</v>
      </c>
      <c r="I779" s="6">
        <v>7</v>
      </c>
      <c r="J779" s="8">
        <v>168900</v>
      </c>
      <c r="K779" s="9">
        <v>0</v>
      </c>
      <c r="L779" s="10">
        <v>1182300</v>
      </c>
      <c r="M779" s="6">
        <v>805000</v>
      </c>
      <c r="N779" s="6">
        <v>377300</v>
      </c>
      <c r="O779" s="6" t="s">
        <v>40</v>
      </c>
      <c r="P779" s="6" t="s">
        <v>25</v>
      </c>
      <c r="Q779" s="6" t="s">
        <v>26</v>
      </c>
    </row>
    <row r="780" spans="1:17" x14ac:dyDescent="0.3">
      <c r="A780" s="6" t="s">
        <v>1323</v>
      </c>
      <c r="B780" s="7">
        <v>46140</v>
      </c>
      <c r="C780" s="6" t="s">
        <v>1324</v>
      </c>
      <c r="D780" s="6" t="s">
        <v>1325</v>
      </c>
      <c r="E780" s="6" t="s">
        <v>36</v>
      </c>
      <c r="F780" s="6" t="s">
        <v>37</v>
      </c>
      <c r="G780" s="6" t="s">
        <v>44</v>
      </c>
      <c r="H780" s="6" t="s">
        <v>73</v>
      </c>
      <c r="I780" s="6">
        <v>2</v>
      </c>
      <c r="J780" s="8">
        <v>322000</v>
      </c>
      <c r="K780" s="9">
        <v>0.08</v>
      </c>
      <c r="L780" s="10">
        <v>592480</v>
      </c>
      <c r="M780" s="6">
        <v>420000</v>
      </c>
      <c r="N780" s="6">
        <v>172480</v>
      </c>
      <c r="O780" s="6" t="s">
        <v>68</v>
      </c>
      <c r="P780" s="6" t="s">
        <v>32</v>
      </c>
      <c r="Q780" s="6" t="s">
        <v>26</v>
      </c>
    </row>
    <row r="781" spans="1:17" x14ac:dyDescent="0.3">
      <c r="A781" s="6" t="s">
        <v>1326</v>
      </c>
      <c r="B781" s="7">
        <v>46141</v>
      </c>
      <c r="C781" s="6" t="s">
        <v>42</v>
      </c>
      <c r="D781" s="6" t="s">
        <v>43</v>
      </c>
      <c r="E781" s="6" t="s">
        <v>36</v>
      </c>
      <c r="F781" s="6" t="s">
        <v>36</v>
      </c>
      <c r="G781" s="6" t="s">
        <v>44</v>
      </c>
      <c r="H781" s="6" t="s">
        <v>73</v>
      </c>
      <c r="I781" s="6">
        <v>6</v>
      </c>
      <c r="J781" s="8">
        <v>306700</v>
      </c>
      <c r="K781" s="9">
        <v>0.05</v>
      </c>
      <c r="L781" s="10">
        <v>1748190</v>
      </c>
      <c r="M781" s="6">
        <v>1260000</v>
      </c>
      <c r="N781" s="6">
        <v>488190</v>
      </c>
      <c r="O781" s="6" t="s">
        <v>68</v>
      </c>
      <c r="P781" s="6" t="s">
        <v>63</v>
      </c>
      <c r="Q781" s="6" t="s">
        <v>26</v>
      </c>
    </row>
    <row r="782" spans="1:17" x14ac:dyDescent="0.3">
      <c r="A782" s="6" t="s">
        <v>1327</v>
      </c>
      <c r="B782" s="7">
        <v>46141</v>
      </c>
      <c r="C782" s="6" t="s">
        <v>406</v>
      </c>
      <c r="D782" s="6" t="s">
        <v>407</v>
      </c>
      <c r="E782" s="6" t="s">
        <v>20</v>
      </c>
      <c r="F782" s="6" t="s">
        <v>123</v>
      </c>
      <c r="G782" s="6" t="s">
        <v>22</v>
      </c>
      <c r="H782" s="6" t="s">
        <v>58</v>
      </c>
      <c r="I782" s="6">
        <v>6</v>
      </c>
      <c r="J782" s="8">
        <v>98200</v>
      </c>
      <c r="K782" s="9">
        <v>0.05</v>
      </c>
      <c r="L782" s="10">
        <v>559740</v>
      </c>
      <c r="M782" s="6">
        <v>330000</v>
      </c>
      <c r="N782" s="6">
        <v>229740</v>
      </c>
      <c r="O782" s="6" t="s">
        <v>104</v>
      </c>
      <c r="P782" s="6" t="s">
        <v>25</v>
      </c>
      <c r="Q782" s="6" t="s">
        <v>26</v>
      </c>
    </row>
    <row r="783" spans="1:17" x14ac:dyDescent="0.3">
      <c r="A783" s="6" t="s">
        <v>1328</v>
      </c>
      <c r="B783" s="7">
        <v>46143</v>
      </c>
      <c r="C783" s="6" t="s">
        <v>262</v>
      </c>
      <c r="D783" s="6" t="s">
        <v>263</v>
      </c>
      <c r="E783" s="6" t="s">
        <v>36</v>
      </c>
      <c r="F783" s="6" t="s">
        <v>155</v>
      </c>
      <c r="G783" s="6" t="s">
        <v>44</v>
      </c>
      <c r="H783" s="6" t="s">
        <v>45</v>
      </c>
      <c r="I783" s="6">
        <v>5</v>
      </c>
      <c r="J783" s="8">
        <v>532100</v>
      </c>
      <c r="K783" s="9">
        <v>0</v>
      </c>
      <c r="L783" s="10">
        <v>2660500</v>
      </c>
      <c r="M783" s="6">
        <v>1825000</v>
      </c>
      <c r="N783" s="6">
        <v>835500</v>
      </c>
      <c r="O783" s="6" t="s">
        <v>31</v>
      </c>
      <c r="P783" s="6" t="s">
        <v>90</v>
      </c>
      <c r="Q783" s="6" t="s">
        <v>26</v>
      </c>
    </row>
    <row r="784" spans="1:17" x14ac:dyDescent="0.3">
      <c r="A784" s="6" t="s">
        <v>1329</v>
      </c>
      <c r="B784" s="7">
        <v>46143</v>
      </c>
      <c r="C784" s="6" t="s">
        <v>193</v>
      </c>
      <c r="D784" s="6" t="s">
        <v>194</v>
      </c>
      <c r="E784" s="6" t="s">
        <v>36</v>
      </c>
      <c r="F784" s="6" t="s">
        <v>155</v>
      </c>
      <c r="G784" s="6" t="s">
        <v>44</v>
      </c>
      <c r="H784" s="6" t="s">
        <v>73</v>
      </c>
      <c r="I784" s="6">
        <v>3</v>
      </c>
      <c r="J784" s="8">
        <v>329900</v>
      </c>
      <c r="K784" s="9">
        <v>0.08</v>
      </c>
      <c r="L784" s="10">
        <v>910524</v>
      </c>
      <c r="M784" s="6">
        <v>630000</v>
      </c>
      <c r="N784" s="6">
        <v>280524</v>
      </c>
      <c r="O784" s="6" t="s">
        <v>68</v>
      </c>
      <c r="P784" s="6" t="s">
        <v>163</v>
      </c>
      <c r="Q784" s="6" t="s">
        <v>26</v>
      </c>
    </row>
    <row r="785" spans="1:17" x14ac:dyDescent="0.3">
      <c r="A785" s="6" t="s">
        <v>1330</v>
      </c>
      <c r="B785" s="7">
        <v>46145</v>
      </c>
      <c r="C785" s="6" t="s">
        <v>817</v>
      </c>
      <c r="D785" s="6" t="s">
        <v>818</v>
      </c>
      <c r="E785" s="6" t="s">
        <v>20</v>
      </c>
      <c r="F785" s="6" t="s">
        <v>20</v>
      </c>
      <c r="G785" s="6" t="s">
        <v>38</v>
      </c>
      <c r="H785" s="6" t="s">
        <v>39</v>
      </c>
      <c r="I785" s="6">
        <v>4</v>
      </c>
      <c r="J785" s="8">
        <v>26500</v>
      </c>
      <c r="K785" s="9">
        <v>0</v>
      </c>
      <c r="L785" s="10">
        <v>106000</v>
      </c>
      <c r="M785" s="6">
        <v>60000</v>
      </c>
      <c r="N785" s="6">
        <v>46000</v>
      </c>
      <c r="O785" s="6" t="s">
        <v>68</v>
      </c>
      <c r="P785" s="6" t="s">
        <v>90</v>
      </c>
      <c r="Q785" s="6" t="s">
        <v>26</v>
      </c>
    </row>
    <row r="786" spans="1:17" x14ac:dyDescent="0.3">
      <c r="A786" s="6" t="s">
        <v>1331</v>
      </c>
      <c r="B786" s="7">
        <v>46145</v>
      </c>
      <c r="C786" s="6" t="s">
        <v>47</v>
      </c>
      <c r="D786" s="6" t="s">
        <v>48</v>
      </c>
      <c r="E786" s="6" t="s">
        <v>36</v>
      </c>
      <c r="F786" s="6" t="s">
        <v>36</v>
      </c>
      <c r="G786" s="6" t="s">
        <v>78</v>
      </c>
      <c r="H786" s="6" t="s">
        <v>188</v>
      </c>
      <c r="I786" s="6">
        <v>1</v>
      </c>
      <c r="J786" s="8">
        <v>90700</v>
      </c>
      <c r="K786" s="9">
        <v>0.1</v>
      </c>
      <c r="L786" s="10">
        <v>81630</v>
      </c>
      <c r="M786" s="6">
        <v>52000</v>
      </c>
      <c r="N786" s="6">
        <v>29630</v>
      </c>
      <c r="O786" s="6" t="s">
        <v>68</v>
      </c>
      <c r="P786" s="6" t="s">
        <v>90</v>
      </c>
      <c r="Q786" s="6" t="s">
        <v>26</v>
      </c>
    </row>
    <row r="787" spans="1:17" x14ac:dyDescent="0.3">
      <c r="A787" s="6" t="s">
        <v>1332</v>
      </c>
      <c r="B787" s="7">
        <v>46145</v>
      </c>
      <c r="C787" s="6" t="s">
        <v>880</v>
      </c>
      <c r="D787" s="6" t="s">
        <v>881</v>
      </c>
      <c r="E787" s="6" t="s">
        <v>36</v>
      </c>
      <c r="F787" s="6" t="s">
        <v>37</v>
      </c>
      <c r="G787" s="6" t="s">
        <v>38</v>
      </c>
      <c r="H787" s="6" t="s">
        <v>214</v>
      </c>
      <c r="I787" s="6">
        <v>4</v>
      </c>
      <c r="J787" s="8">
        <v>43100</v>
      </c>
      <c r="K787" s="9">
        <v>0</v>
      </c>
      <c r="L787" s="10">
        <v>172400</v>
      </c>
      <c r="M787" s="6">
        <v>104000</v>
      </c>
      <c r="N787" s="6">
        <v>68400</v>
      </c>
      <c r="O787" s="6" t="s">
        <v>40</v>
      </c>
      <c r="P787" s="6" t="s">
        <v>119</v>
      </c>
      <c r="Q787" s="6" t="s">
        <v>26</v>
      </c>
    </row>
    <row r="788" spans="1:17" x14ac:dyDescent="0.3">
      <c r="A788" s="6" t="s">
        <v>1333</v>
      </c>
      <c r="B788" s="7">
        <v>46146</v>
      </c>
      <c r="C788" s="6" t="s">
        <v>645</v>
      </c>
      <c r="D788" s="6" t="s">
        <v>646</v>
      </c>
      <c r="E788" s="6" t="s">
        <v>30</v>
      </c>
      <c r="F788" s="6" t="s">
        <v>159</v>
      </c>
      <c r="G788" s="6" t="s">
        <v>78</v>
      </c>
      <c r="H788" s="6" t="s">
        <v>79</v>
      </c>
      <c r="I788" s="6">
        <v>3</v>
      </c>
      <c r="J788" s="8">
        <v>31200</v>
      </c>
      <c r="K788" s="9">
        <v>0</v>
      </c>
      <c r="L788" s="10">
        <v>-93600</v>
      </c>
      <c r="M788" s="6">
        <v>-54000</v>
      </c>
      <c r="N788" s="6">
        <v>-39600</v>
      </c>
      <c r="O788" s="6" t="s">
        <v>68</v>
      </c>
      <c r="P788" s="6" t="s">
        <v>74</v>
      </c>
      <c r="Q788" s="6" t="s">
        <v>105</v>
      </c>
    </row>
    <row r="789" spans="1:17" x14ac:dyDescent="0.3">
      <c r="A789" s="6" t="s">
        <v>1334</v>
      </c>
      <c r="B789" s="7">
        <v>46147</v>
      </c>
      <c r="C789" s="6" t="s">
        <v>897</v>
      </c>
      <c r="D789" s="6" t="s">
        <v>898</v>
      </c>
      <c r="E789" s="6" t="s">
        <v>36</v>
      </c>
      <c r="F789" s="6" t="s">
        <v>37</v>
      </c>
      <c r="G789" s="6" t="s">
        <v>44</v>
      </c>
      <c r="H789" s="6" t="s">
        <v>45</v>
      </c>
      <c r="I789" s="6">
        <v>3</v>
      </c>
      <c r="J789" s="8">
        <v>497100</v>
      </c>
      <c r="K789" s="9">
        <v>0.02</v>
      </c>
      <c r="L789" s="10">
        <v>1461474</v>
      </c>
      <c r="M789" s="6">
        <v>1095000</v>
      </c>
      <c r="N789" s="6">
        <v>366474</v>
      </c>
      <c r="O789" s="6" t="s">
        <v>40</v>
      </c>
      <c r="P789" s="6" t="s">
        <v>63</v>
      </c>
      <c r="Q789" s="6" t="s">
        <v>26</v>
      </c>
    </row>
    <row r="790" spans="1:17" x14ac:dyDescent="0.3">
      <c r="A790" s="6" t="s">
        <v>1335</v>
      </c>
      <c r="B790" s="7">
        <v>46147</v>
      </c>
      <c r="C790" s="6" t="s">
        <v>349</v>
      </c>
      <c r="D790" s="6" t="s">
        <v>350</v>
      </c>
      <c r="E790" s="6" t="s">
        <v>30</v>
      </c>
      <c r="F790" s="6" t="s">
        <v>30</v>
      </c>
      <c r="G790" s="6" t="s">
        <v>22</v>
      </c>
      <c r="H790" s="6" t="s">
        <v>58</v>
      </c>
      <c r="I790" s="6">
        <v>1</v>
      </c>
      <c r="J790" s="8">
        <v>91200</v>
      </c>
      <c r="K790" s="9">
        <v>0.08</v>
      </c>
      <c r="L790" s="10">
        <v>83904</v>
      </c>
      <c r="M790" s="6">
        <v>55000</v>
      </c>
      <c r="N790" s="6">
        <v>28904</v>
      </c>
      <c r="O790" s="6" t="s">
        <v>104</v>
      </c>
      <c r="P790" s="6" t="s">
        <v>25</v>
      </c>
      <c r="Q790" s="6" t="s">
        <v>26</v>
      </c>
    </row>
    <row r="791" spans="1:17" x14ac:dyDescent="0.3">
      <c r="A791" s="6" t="s">
        <v>1336</v>
      </c>
      <c r="B791" s="7">
        <v>46147</v>
      </c>
      <c r="C791" s="6" t="s">
        <v>550</v>
      </c>
      <c r="D791" s="6" t="s">
        <v>551</v>
      </c>
      <c r="E791" s="6" t="s">
        <v>36</v>
      </c>
      <c r="F791" s="6" t="s">
        <v>36</v>
      </c>
      <c r="G791" s="6" t="s">
        <v>22</v>
      </c>
      <c r="H791" s="6" t="s">
        <v>58</v>
      </c>
      <c r="I791" s="6">
        <v>6</v>
      </c>
      <c r="J791" s="8">
        <v>94300</v>
      </c>
      <c r="K791" s="9">
        <v>0.05</v>
      </c>
      <c r="L791" s="10">
        <v>537510</v>
      </c>
      <c r="M791" s="6">
        <v>330000</v>
      </c>
      <c r="N791" s="6">
        <v>207510</v>
      </c>
      <c r="O791" s="6" t="s">
        <v>24</v>
      </c>
      <c r="P791" s="6" t="s">
        <v>90</v>
      </c>
      <c r="Q791" s="6" t="s">
        <v>26</v>
      </c>
    </row>
    <row r="792" spans="1:17" x14ac:dyDescent="0.3">
      <c r="A792" s="6" t="s">
        <v>1337</v>
      </c>
      <c r="B792" s="7">
        <v>46147</v>
      </c>
      <c r="C792" s="6" t="s">
        <v>60</v>
      </c>
      <c r="D792" s="6" t="s">
        <v>61</v>
      </c>
      <c r="E792" s="6" t="s">
        <v>20</v>
      </c>
      <c r="F792" s="6" t="s">
        <v>20</v>
      </c>
      <c r="G792" s="6" t="s">
        <v>44</v>
      </c>
      <c r="H792" s="6" t="s">
        <v>89</v>
      </c>
      <c r="I792" s="6">
        <v>6</v>
      </c>
      <c r="J792" s="8">
        <v>191400</v>
      </c>
      <c r="K792" s="9">
        <v>0.08</v>
      </c>
      <c r="L792" s="10">
        <v>1056528</v>
      </c>
      <c r="M792" s="6">
        <v>690000</v>
      </c>
      <c r="N792" s="6">
        <v>366528</v>
      </c>
      <c r="O792" s="6" t="s">
        <v>40</v>
      </c>
      <c r="P792" s="6" t="s">
        <v>63</v>
      </c>
      <c r="Q792" s="6" t="s">
        <v>26</v>
      </c>
    </row>
    <row r="793" spans="1:17" x14ac:dyDescent="0.3">
      <c r="A793" s="6" t="s">
        <v>1338</v>
      </c>
      <c r="B793" s="7">
        <v>46148</v>
      </c>
      <c r="C793" s="6" t="s">
        <v>280</v>
      </c>
      <c r="D793" s="6" t="s">
        <v>281</v>
      </c>
      <c r="E793" s="6" t="s">
        <v>20</v>
      </c>
      <c r="F793" s="6" t="s">
        <v>62</v>
      </c>
      <c r="G793" s="6" t="s">
        <v>44</v>
      </c>
      <c r="H793" s="6" t="s">
        <v>89</v>
      </c>
      <c r="I793" s="6">
        <v>7</v>
      </c>
      <c r="J793" s="8">
        <v>171500</v>
      </c>
      <c r="K793" s="9">
        <v>0</v>
      </c>
      <c r="L793" s="10">
        <v>1200500</v>
      </c>
      <c r="M793" s="6">
        <v>805000</v>
      </c>
      <c r="N793" s="6">
        <v>395500</v>
      </c>
      <c r="O793" s="6" t="s">
        <v>31</v>
      </c>
      <c r="P793" s="6" t="s">
        <v>32</v>
      </c>
      <c r="Q793" s="6" t="s">
        <v>26</v>
      </c>
    </row>
    <row r="794" spans="1:17" x14ac:dyDescent="0.3">
      <c r="A794" s="6" t="s">
        <v>1339</v>
      </c>
      <c r="B794" s="7">
        <v>46149</v>
      </c>
      <c r="C794" s="6" t="s">
        <v>256</v>
      </c>
      <c r="D794" s="6" t="s">
        <v>257</v>
      </c>
      <c r="E794" s="6" t="s">
        <v>87</v>
      </c>
      <c r="F794" s="6" t="s">
        <v>135</v>
      </c>
      <c r="G794" s="6" t="s">
        <v>22</v>
      </c>
      <c r="H794" s="6" t="s">
        <v>23</v>
      </c>
      <c r="I794" s="6">
        <v>6</v>
      </c>
      <c r="J794" s="8">
        <v>429500</v>
      </c>
      <c r="K794" s="9">
        <v>0</v>
      </c>
      <c r="L794" s="10">
        <v>2577000</v>
      </c>
      <c r="M794" s="6">
        <v>1800000</v>
      </c>
      <c r="N794" s="6">
        <v>777000</v>
      </c>
      <c r="O794" s="6" t="s">
        <v>104</v>
      </c>
      <c r="P794" s="6" t="s">
        <v>25</v>
      </c>
      <c r="Q794" s="6" t="s">
        <v>26</v>
      </c>
    </row>
    <row r="795" spans="1:17" x14ac:dyDescent="0.3">
      <c r="A795" s="6" t="s">
        <v>1340</v>
      </c>
      <c r="B795" s="7">
        <v>46151</v>
      </c>
      <c r="C795" s="6" t="s">
        <v>434</v>
      </c>
      <c r="D795" s="6" t="s">
        <v>435</v>
      </c>
      <c r="E795" s="6" t="s">
        <v>36</v>
      </c>
      <c r="F795" s="6" t="s">
        <v>36</v>
      </c>
      <c r="G795" s="6" t="s">
        <v>22</v>
      </c>
      <c r="H795" s="6" t="s">
        <v>23</v>
      </c>
      <c r="I795" s="6">
        <v>1</v>
      </c>
      <c r="J795" s="8">
        <v>446500</v>
      </c>
      <c r="K795" s="9">
        <v>0.08</v>
      </c>
      <c r="L795" s="10">
        <v>410780</v>
      </c>
      <c r="M795" s="6">
        <v>300000</v>
      </c>
      <c r="N795" s="6">
        <v>110780</v>
      </c>
      <c r="O795" s="6" t="s">
        <v>68</v>
      </c>
      <c r="P795" s="6" t="s">
        <v>74</v>
      </c>
      <c r="Q795" s="6" t="s">
        <v>26</v>
      </c>
    </row>
    <row r="796" spans="1:17" x14ac:dyDescent="0.3">
      <c r="A796" s="6" t="s">
        <v>1341</v>
      </c>
      <c r="B796" s="7">
        <v>46151</v>
      </c>
      <c r="C796" s="6" t="s">
        <v>171</v>
      </c>
      <c r="D796" s="6" t="s">
        <v>172</v>
      </c>
      <c r="E796" s="6" t="s">
        <v>67</v>
      </c>
      <c r="F796" s="6" t="s">
        <v>100</v>
      </c>
      <c r="G796" s="6" t="s">
        <v>22</v>
      </c>
      <c r="H796" s="6" t="s">
        <v>58</v>
      </c>
      <c r="I796" s="6">
        <v>3</v>
      </c>
      <c r="J796" s="8">
        <v>100300</v>
      </c>
      <c r="K796" s="9">
        <v>0</v>
      </c>
      <c r="L796" s="10">
        <v>0</v>
      </c>
      <c r="M796" s="6">
        <v>0</v>
      </c>
      <c r="N796" s="6">
        <v>0</v>
      </c>
      <c r="O796" s="6" t="s">
        <v>40</v>
      </c>
      <c r="P796" s="6" t="s">
        <v>54</v>
      </c>
      <c r="Q796" s="6" t="s">
        <v>69</v>
      </c>
    </row>
    <row r="797" spans="1:17" x14ac:dyDescent="0.3">
      <c r="A797" s="6" t="s">
        <v>1342</v>
      </c>
      <c r="B797" s="7">
        <v>46152</v>
      </c>
      <c r="C797" s="6" t="s">
        <v>300</v>
      </c>
      <c r="D797" s="6" t="s">
        <v>301</v>
      </c>
      <c r="E797" s="6" t="s">
        <v>20</v>
      </c>
      <c r="F797" s="6" t="s">
        <v>123</v>
      </c>
      <c r="G797" s="6" t="s">
        <v>22</v>
      </c>
      <c r="H797" s="6" t="s">
        <v>58</v>
      </c>
      <c r="I797" s="6">
        <v>1</v>
      </c>
      <c r="J797" s="8">
        <v>94400</v>
      </c>
      <c r="K797" s="9">
        <v>0.02</v>
      </c>
      <c r="L797" s="10">
        <v>92512</v>
      </c>
      <c r="M797" s="6">
        <v>55000</v>
      </c>
      <c r="N797" s="6">
        <v>37512</v>
      </c>
      <c r="O797" s="6" t="s">
        <v>40</v>
      </c>
      <c r="P797" s="6" t="s">
        <v>74</v>
      </c>
      <c r="Q797" s="6" t="s">
        <v>26</v>
      </c>
    </row>
    <row r="798" spans="1:17" x14ac:dyDescent="0.3">
      <c r="A798" s="6" t="s">
        <v>1343</v>
      </c>
      <c r="B798" s="7">
        <v>46153</v>
      </c>
      <c r="C798" s="6" t="s">
        <v>339</v>
      </c>
      <c r="D798" s="6" t="s">
        <v>340</v>
      </c>
      <c r="E798" s="6" t="s">
        <v>20</v>
      </c>
      <c r="F798" s="6" t="s">
        <v>21</v>
      </c>
      <c r="G798" s="6" t="s">
        <v>44</v>
      </c>
      <c r="H798" s="6" t="s">
        <v>73</v>
      </c>
      <c r="I798" s="6">
        <v>4</v>
      </c>
      <c r="J798" s="8">
        <v>327800</v>
      </c>
      <c r="K798" s="9">
        <v>0</v>
      </c>
      <c r="L798" s="10">
        <v>1311200</v>
      </c>
      <c r="M798" s="6">
        <v>840000</v>
      </c>
      <c r="N798" s="6">
        <v>471200</v>
      </c>
      <c r="O798" s="6" t="s">
        <v>24</v>
      </c>
      <c r="P798" s="6" t="s">
        <v>25</v>
      </c>
      <c r="Q798" s="6" t="s">
        <v>26</v>
      </c>
    </row>
    <row r="799" spans="1:17" x14ac:dyDescent="0.3">
      <c r="A799" s="6" t="s">
        <v>1344</v>
      </c>
      <c r="B799" s="7">
        <v>46154</v>
      </c>
      <c r="C799" s="6" t="s">
        <v>588</v>
      </c>
      <c r="D799" s="6" t="s">
        <v>589</v>
      </c>
      <c r="E799" s="6" t="s">
        <v>87</v>
      </c>
      <c r="F799" s="6" t="s">
        <v>131</v>
      </c>
      <c r="G799" s="6" t="s">
        <v>38</v>
      </c>
      <c r="H799" s="6" t="s">
        <v>39</v>
      </c>
      <c r="I799" s="6">
        <v>3</v>
      </c>
      <c r="J799" s="8">
        <v>28800</v>
      </c>
      <c r="K799" s="9">
        <v>0.05</v>
      </c>
      <c r="L799" s="10">
        <v>82080</v>
      </c>
      <c r="M799" s="6">
        <v>45000</v>
      </c>
      <c r="N799" s="6">
        <v>37080</v>
      </c>
      <c r="O799" s="6" t="s">
        <v>104</v>
      </c>
      <c r="P799" s="6" t="s">
        <v>90</v>
      </c>
      <c r="Q799" s="6" t="s">
        <v>26</v>
      </c>
    </row>
    <row r="800" spans="1:17" x14ac:dyDescent="0.3">
      <c r="A800" s="6" t="s">
        <v>1345</v>
      </c>
      <c r="B800" s="7">
        <v>46157</v>
      </c>
      <c r="C800" s="6" t="s">
        <v>1191</v>
      </c>
      <c r="D800" s="6" t="s">
        <v>1192</v>
      </c>
      <c r="E800" s="6" t="s">
        <v>20</v>
      </c>
      <c r="F800" s="6" t="s">
        <v>62</v>
      </c>
      <c r="G800" s="6" t="s">
        <v>22</v>
      </c>
      <c r="H800" s="6" t="s">
        <v>58</v>
      </c>
      <c r="I800" s="6">
        <v>5</v>
      </c>
      <c r="J800" s="8">
        <v>89700</v>
      </c>
      <c r="K800" s="9">
        <v>0.05</v>
      </c>
      <c r="L800" s="10">
        <v>426075</v>
      </c>
      <c r="M800" s="6">
        <v>275000</v>
      </c>
      <c r="N800" s="6">
        <v>151075</v>
      </c>
      <c r="O800" s="6" t="s">
        <v>31</v>
      </c>
      <c r="P800" s="6" t="s">
        <v>74</v>
      </c>
      <c r="Q800" s="6" t="s">
        <v>26</v>
      </c>
    </row>
    <row r="801" spans="1:17" x14ac:dyDescent="0.3">
      <c r="A801" s="6" t="s">
        <v>1346</v>
      </c>
      <c r="B801" s="7">
        <v>46157</v>
      </c>
      <c r="C801" s="6" t="s">
        <v>971</v>
      </c>
      <c r="D801" s="6" t="s">
        <v>972</v>
      </c>
      <c r="E801" s="6" t="s">
        <v>30</v>
      </c>
      <c r="F801" s="6" t="s">
        <v>30</v>
      </c>
      <c r="G801" s="6" t="s">
        <v>38</v>
      </c>
      <c r="H801" s="6" t="s">
        <v>39</v>
      </c>
      <c r="I801" s="6">
        <v>2</v>
      </c>
      <c r="J801" s="8">
        <v>25800</v>
      </c>
      <c r="K801" s="9">
        <v>0</v>
      </c>
      <c r="L801" s="10">
        <v>51600</v>
      </c>
      <c r="M801" s="6">
        <v>30000</v>
      </c>
      <c r="N801" s="6">
        <v>21600</v>
      </c>
      <c r="O801" s="6" t="s">
        <v>104</v>
      </c>
      <c r="P801" s="6" t="s">
        <v>119</v>
      </c>
      <c r="Q801" s="6" t="s">
        <v>26</v>
      </c>
    </row>
    <row r="802" spans="1:17" x14ac:dyDescent="0.3">
      <c r="A802" s="6" t="s">
        <v>1347</v>
      </c>
      <c r="B802" s="7">
        <v>46157</v>
      </c>
      <c r="C802" s="6" t="s">
        <v>133</v>
      </c>
      <c r="D802" s="6" t="s">
        <v>134</v>
      </c>
      <c r="E802" s="6" t="s">
        <v>67</v>
      </c>
      <c r="F802" s="6" t="s">
        <v>67</v>
      </c>
      <c r="G802" s="6" t="s">
        <v>22</v>
      </c>
      <c r="H802" s="6" t="s">
        <v>23</v>
      </c>
      <c r="I802" s="6">
        <v>4</v>
      </c>
      <c r="J802" s="8">
        <v>411900</v>
      </c>
      <c r="K802" s="9">
        <v>0.05</v>
      </c>
      <c r="L802" s="10">
        <v>0</v>
      </c>
      <c r="M802" s="6">
        <v>0</v>
      </c>
      <c r="N802" s="6">
        <v>0</v>
      </c>
      <c r="O802" s="6" t="s">
        <v>104</v>
      </c>
      <c r="P802" s="6" t="s">
        <v>163</v>
      </c>
      <c r="Q802" s="6" t="s">
        <v>69</v>
      </c>
    </row>
    <row r="803" spans="1:17" x14ac:dyDescent="0.3">
      <c r="A803" s="6" t="s">
        <v>1348</v>
      </c>
      <c r="B803" s="7">
        <v>46158</v>
      </c>
      <c r="C803" s="6" t="s">
        <v>540</v>
      </c>
      <c r="D803" s="6" t="s">
        <v>541</v>
      </c>
      <c r="E803" s="6" t="s">
        <v>20</v>
      </c>
      <c r="F803" s="6" t="s">
        <v>62</v>
      </c>
      <c r="G803" s="6" t="s">
        <v>38</v>
      </c>
      <c r="H803" s="6" t="s">
        <v>127</v>
      </c>
      <c r="I803" s="6">
        <v>5</v>
      </c>
      <c r="J803" s="8">
        <v>226500</v>
      </c>
      <c r="K803" s="9">
        <v>0.05</v>
      </c>
      <c r="L803" s="10">
        <v>1075875</v>
      </c>
      <c r="M803" s="6">
        <v>825000</v>
      </c>
      <c r="N803" s="6">
        <v>250875</v>
      </c>
      <c r="O803" s="6" t="s">
        <v>68</v>
      </c>
      <c r="P803" s="6" t="s">
        <v>74</v>
      </c>
      <c r="Q803" s="6" t="s">
        <v>26</v>
      </c>
    </row>
    <row r="804" spans="1:17" x14ac:dyDescent="0.3">
      <c r="A804" s="6" t="s">
        <v>1349</v>
      </c>
      <c r="B804" s="7">
        <v>46159</v>
      </c>
      <c r="C804" s="6" t="s">
        <v>129</v>
      </c>
      <c r="D804" s="6" t="s">
        <v>130</v>
      </c>
      <c r="E804" s="6" t="s">
        <v>20</v>
      </c>
      <c r="F804" s="6" t="s">
        <v>123</v>
      </c>
      <c r="G804" s="6" t="s">
        <v>38</v>
      </c>
      <c r="H804" s="6" t="s">
        <v>39</v>
      </c>
      <c r="I804" s="6">
        <v>2</v>
      </c>
      <c r="J804" s="8">
        <v>30000</v>
      </c>
      <c r="K804" s="9">
        <v>0.08</v>
      </c>
      <c r="L804" s="10">
        <v>55200</v>
      </c>
      <c r="M804" s="6">
        <v>30000</v>
      </c>
      <c r="N804" s="6">
        <v>25200</v>
      </c>
      <c r="O804" s="6" t="s">
        <v>40</v>
      </c>
      <c r="P804" s="6" t="s">
        <v>32</v>
      </c>
      <c r="Q804" s="6" t="s">
        <v>26</v>
      </c>
    </row>
    <row r="805" spans="1:17" x14ac:dyDescent="0.3">
      <c r="A805" s="6" t="s">
        <v>1350</v>
      </c>
      <c r="B805" s="7">
        <v>46159</v>
      </c>
      <c r="C805" s="6" t="s">
        <v>365</v>
      </c>
      <c r="D805" s="6" t="s">
        <v>366</v>
      </c>
      <c r="E805" s="6" t="s">
        <v>67</v>
      </c>
      <c r="F805" s="6" t="s">
        <v>100</v>
      </c>
      <c r="G805" s="6" t="s">
        <v>44</v>
      </c>
      <c r="H805" s="6" t="s">
        <v>45</v>
      </c>
      <c r="I805" s="6">
        <v>5</v>
      </c>
      <c r="J805" s="8">
        <v>553800</v>
      </c>
      <c r="K805" s="9">
        <v>0.1</v>
      </c>
      <c r="L805" s="10">
        <v>2492100</v>
      </c>
      <c r="M805" s="6">
        <v>1825000</v>
      </c>
      <c r="N805" s="6">
        <v>667100</v>
      </c>
      <c r="O805" s="6" t="s">
        <v>40</v>
      </c>
      <c r="P805" s="6" t="s">
        <v>163</v>
      </c>
      <c r="Q805" s="6" t="s">
        <v>26</v>
      </c>
    </row>
    <row r="806" spans="1:17" x14ac:dyDescent="0.3">
      <c r="A806" s="6" t="s">
        <v>1351</v>
      </c>
      <c r="B806" s="7">
        <v>46159</v>
      </c>
      <c r="C806" s="6" t="s">
        <v>241</v>
      </c>
      <c r="D806" s="6" t="s">
        <v>242</v>
      </c>
      <c r="E806" s="6" t="s">
        <v>36</v>
      </c>
      <c r="F806" s="6" t="s">
        <v>36</v>
      </c>
      <c r="G806" s="6" t="s">
        <v>22</v>
      </c>
      <c r="H806" s="6" t="s">
        <v>23</v>
      </c>
      <c r="I806" s="6">
        <v>3</v>
      </c>
      <c r="J806" s="8">
        <v>409000</v>
      </c>
      <c r="K806" s="9">
        <v>0.05</v>
      </c>
      <c r="L806" s="10">
        <v>1165650</v>
      </c>
      <c r="M806" s="6">
        <v>900000</v>
      </c>
      <c r="N806" s="6">
        <v>265650</v>
      </c>
      <c r="O806" s="6" t="s">
        <v>104</v>
      </c>
      <c r="P806" s="6" t="s">
        <v>25</v>
      </c>
      <c r="Q806" s="6" t="s">
        <v>26</v>
      </c>
    </row>
    <row r="807" spans="1:17" x14ac:dyDescent="0.3">
      <c r="A807" s="6" t="s">
        <v>1352</v>
      </c>
      <c r="B807" s="7">
        <v>46160</v>
      </c>
      <c r="C807" s="6" t="s">
        <v>98</v>
      </c>
      <c r="D807" s="6" t="s">
        <v>99</v>
      </c>
      <c r="E807" s="6" t="s">
        <v>20</v>
      </c>
      <c r="F807" s="6" t="s">
        <v>20</v>
      </c>
      <c r="G807" s="6" t="s">
        <v>22</v>
      </c>
      <c r="H807" s="6" t="s">
        <v>58</v>
      </c>
      <c r="I807" s="6">
        <v>4</v>
      </c>
      <c r="J807" s="8">
        <v>99200</v>
      </c>
      <c r="K807" s="9">
        <v>0.08</v>
      </c>
      <c r="L807" s="10">
        <v>365056</v>
      </c>
      <c r="M807" s="6">
        <v>220000</v>
      </c>
      <c r="N807" s="6">
        <v>145056</v>
      </c>
      <c r="O807" s="6" t="s">
        <v>68</v>
      </c>
      <c r="P807" s="6" t="s">
        <v>163</v>
      </c>
      <c r="Q807" s="6" t="s">
        <v>26</v>
      </c>
    </row>
    <row r="808" spans="1:17" x14ac:dyDescent="0.3">
      <c r="A808" s="6" t="s">
        <v>1353</v>
      </c>
      <c r="B808" s="7">
        <v>46160</v>
      </c>
      <c r="C808" s="6" t="s">
        <v>51</v>
      </c>
      <c r="D808" s="6" t="s">
        <v>52</v>
      </c>
      <c r="E808" s="6" t="s">
        <v>36</v>
      </c>
      <c r="F808" s="6" t="s">
        <v>155</v>
      </c>
      <c r="G808" s="6" t="s">
        <v>22</v>
      </c>
      <c r="H808" s="6" t="s">
        <v>58</v>
      </c>
      <c r="I808" s="6">
        <v>7</v>
      </c>
      <c r="J808" s="8">
        <v>100700</v>
      </c>
      <c r="K808" s="9">
        <v>0.02</v>
      </c>
      <c r="L808" s="10">
        <v>690802</v>
      </c>
      <c r="M808" s="6">
        <v>385000</v>
      </c>
      <c r="N808" s="6">
        <v>305802</v>
      </c>
      <c r="O808" s="6" t="s">
        <v>24</v>
      </c>
      <c r="P808" s="6" t="s">
        <v>74</v>
      </c>
      <c r="Q808" s="6" t="s">
        <v>26</v>
      </c>
    </row>
    <row r="809" spans="1:17" x14ac:dyDescent="0.3">
      <c r="A809" s="6" t="s">
        <v>1354</v>
      </c>
      <c r="B809" s="7">
        <v>46160</v>
      </c>
      <c r="C809" s="6" t="s">
        <v>253</v>
      </c>
      <c r="D809" s="6" t="s">
        <v>254</v>
      </c>
      <c r="E809" s="6" t="s">
        <v>20</v>
      </c>
      <c r="F809" s="6" t="s">
        <v>62</v>
      </c>
      <c r="G809" s="6" t="s">
        <v>22</v>
      </c>
      <c r="H809" s="6" t="s">
        <v>58</v>
      </c>
      <c r="I809" s="6">
        <v>4</v>
      </c>
      <c r="J809" s="8">
        <v>93500</v>
      </c>
      <c r="K809" s="9">
        <v>0.02</v>
      </c>
      <c r="L809" s="10">
        <v>366520</v>
      </c>
      <c r="M809" s="6">
        <v>220000</v>
      </c>
      <c r="N809" s="6">
        <v>146520</v>
      </c>
      <c r="O809" s="6" t="s">
        <v>68</v>
      </c>
      <c r="P809" s="6" t="s">
        <v>54</v>
      </c>
      <c r="Q809" s="6" t="s">
        <v>26</v>
      </c>
    </row>
    <row r="810" spans="1:17" x14ac:dyDescent="0.3">
      <c r="A810" s="6" t="s">
        <v>1355</v>
      </c>
      <c r="B810" s="7">
        <v>46161</v>
      </c>
      <c r="C810" s="6" t="s">
        <v>903</v>
      </c>
      <c r="D810" s="6" t="s">
        <v>904</v>
      </c>
      <c r="E810" s="6" t="s">
        <v>36</v>
      </c>
      <c r="F810" s="6" t="s">
        <v>37</v>
      </c>
      <c r="G810" s="6" t="s">
        <v>22</v>
      </c>
      <c r="H810" s="6" t="s">
        <v>58</v>
      </c>
      <c r="I810" s="6">
        <v>3</v>
      </c>
      <c r="J810" s="8">
        <v>98200</v>
      </c>
      <c r="K810" s="9">
        <v>0.15</v>
      </c>
      <c r="L810" s="10">
        <v>250410</v>
      </c>
      <c r="M810" s="6">
        <v>165000</v>
      </c>
      <c r="N810" s="6">
        <v>85410</v>
      </c>
      <c r="O810" s="6" t="s">
        <v>31</v>
      </c>
      <c r="P810" s="6" t="s">
        <v>54</v>
      </c>
      <c r="Q810" s="6" t="s">
        <v>26</v>
      </c>
    </row>
    <row r="811" spans="1:17" x14ac:dyDescent="0.3">
      <c r="A811" s="6" t="s">
        <v>1356</v>
      </c>
      <c r="B811" s="7">
        <v>46161</v>
      </c>
      <c r="C811" s="6" t="s">
        <v>859</v>
      </c>
      <c r="D811" s="6" t="s">
        <v>860</v>
      </c>
      <c r="E811" s="6" t="s">
        <v>67</v>
      </c>
      <c r="F811" s="6" t="s">
        <v>236</v>
      </c>
      <c r="G811" s="6" t="s">
        <v>38</v>
      </c>
      <c r="H811" s="6" t="s">
        <v>53</v>
      </c>
      <c r="I811" s="6">
        <v>3</v>
      </c>
      <c r="J811" s="8">
        <v>374800</v>
      </c>
      <c r="K811" s="9">
        <v>0.08</v>
      </c>
      <c r="L811" s="10">
        <v>1034448</v>
      </c>
      <c r="M811" s="6">
        <v>840000</v>
      </c>
      <c r="N811" s="6">
        <v>194448</v>
      </c>
      <c r="O811" s="6" t="s">
        <v>68</v>
      </c>
      <c r="P811" s="6" t="s">
        <v>90</v>
      </c>
      <c r="Q811" s="6" t="s">
        <v>26</v>
      </c>
    </row>
    <row r="812" spans="1:17" x14ac:dyDescent="0.3">
      <c r="A812" s="6" t="s">
        <v>1357</v>
      </c>
      <c r="B812" s="7">
        <v>46162</v>
      </c>
      <c r="C812" s="6" t="s">
        <v>633</v>
      </c>
      <c r="D812" s="6" t="s">
        <v>634</v>
      </c>
      <c r="E812" s="6" t="s">
        <v>36</v>
      </c>
      <c r="F812" s="6" t="s">
        <v>155</v>
      </c>
      <c r="G812" s="6" t="s">
        <v>22</v>
      </c>
      <c r="H812" s="6" t="s">
        <v>49</v>
      </c>
      <c r="I812" s="6">
        <v>6</v>
      </c>
      <c r="J812" s="8">
        <v>1335500</v>
      </c>
      <c r="K812" s="9">
        <v>0.05</v>
      </c>
      <c r="L812" s="10">
        <v>7612350</v>
      </c>
      <c r="M812" s="6">
        <v>5700000</v>
      </c>
      <c r="N812" s="6">
        <v>1912350</v>
      </c>
      <c r="O812" s="6" t="s">
        <v>40</v>
      </c>
      <c r="P812" s="6" t="s">
        <v>63</v>
      </c>
      <c r="Q812" s="6" t="s">
        <v>26</v>
      </c>
    </row>
    <row r="813" spans="1:17" x14ac:dyDescent="0.3">
      <c r="A813" s="6" t="s">
        <v>1358</v>
      </c>
      <c r="B813" s="7">
        <v>46162</v>
      </c>
      <c r="C813" s="6" t="s">
        <v>327</v>
      </c>
      <c r="D813" s="6" t="s">
        <v>328</v>
      </c>
      <c r="E813" s="6" t="s">
        <v>20</v>
      </c>
      <c r="F813" s="6" t="s">
        <v>21</v>
      </c>
      <c r="G813" s="6" t="s">
        <v>44</v>
      </c>
      <c r="H813" s="6" t="s">
        <v>73</v>
      </c>
      <c r="I813" s="6">
        <v>1</v>
      </c>
      <c r="J813" s="8">
        <v>311400</v>
      </c>
      <c r="K813" s="9">
        <v>0.08</v>
      </c>
      <c r="L813" s="10">
        <v>286488</v>
      </c>
      <c r="M813" s="6">
        <v>210000</v>
      </c>
      <c r="N813" s="6">
        <v>76488</v>
      </c>
      <c r="O813" s="6" t="s">
        <v>31</v>
      </c>
      <c r="P813" s="6" t="s">
        <v>54</v>
      </c>
      <c r="Q813" s="6" t="s">
        <v>26</v>
      </c>
    </row>
    <row r="814" spans="1:17" x14ac:dyDescent="0.3">
      <c r="A814" s="6" t="s">
        <v>1359</v>
      </c>
      <c r="B814" s="7">
        <v>46163</v>
      </c>
      <c r="C814" s="6" t="s">
        <v>725</v>
      </c>
      <c r="D814" s="6" t="s">
        <v>726</v>
      </c>
      <c r="E814" s="6" t="s">
        <v>20</v>
      </c>
      <c r="F814" s="6" t="s">
        <v>123</v>
      </c>
      <c r="G814" s="6" t="s">
        <v>22</v>
      </c>
      <c r="H814" s="6" t="s">
        <v>49</v>
      </c>
      <c r="I814" s="6">
        <v>7</v>
      </c>
      <c r="J814" s="8">
        <v>1225500</v>
      </c>
      <c r="K814" s="9">
        <v>0</v>
      </c>
      <c r="L814" s="10">
        <v>8578500</v>
      </c>
      <c r="M814" s="6">
        <v>6650000</v>
      </c>
      <c r="N814" s="6">
        <v>1928500</v>
      </c>
      <c r="O814" s="6" t="s">
        <v>68</v>
      </c>
      <c r="P814" s="6" t="s">
        <v>54</v>
      </c>
      <c r="Q814" s="6" t="s">
        <v>26</v>
      </c>
    </row>
    <row r="815" spans="1:17" x14ac:dyDescent="0.3">
      <c r="A815" s="6" t="s">
        <v>1360</v>
      </c>
      <c r="B815" s="7">
        <v>46163</v>
      </c>
      <c r="C815" s="6" t="s">
        <v>390</v>
      </c>
      <c r="D815" s="6" t="s">
        <v>391</v>
      </c>
      <c r="E815" s="6" t="s">
        <v>67</v>
      </c>
      <c r="F815" s="6" t="s">
        <v>236</v>
      </c>
      <c r="G815" s="6" t="s">
        <v>44</v>
      </c>
      <c r="H815" s="6" t="s">
        <v>89</v>
      </c>
      <c r="I815" s="6">
        <v>7</v>
      </c>
      <c r="J815" s="8">
        <v>171800</v>
      </c>
      <c r="K815" s="9">
        <v>0.05</v>
      </c>
      <c r="L815" s="10">
        <v>1142470</v>
      </c>
      <c r="M815" s="6">
        <v>805000</v>
      </c>
      <c r="N815" s="6">
        <v>337470</v>
      </c>
      <c r="O815" s="6" t="s">
        <v>40</v>
      </c>
      <c r="P815" s="6" t="s">
        <v>163</v>
      </c>
      <c r="Q815" s="6" t="s">
        <v>26</v>
      </c>
    </row>
    <row r="816" spans="1:17" x14ac:dyDescent="0.3">
      <c r="A816" s="6" t="s">
        <v>1361</v>
      </c>
      <c r="B816" s="7">
        <v>46163</v>
      </c>
      <c r="C816" s="6" t="s">
        <v>859</v>
      </c>
      <c r="D816" s="6" t="s">
        <v>860</v>
      </c>
      <c r="E816" s="6" t="s">
        <v>87</v>
      </c>
      <c r="F816" s="6" t="s">
        <v>88</v>
      </c>
      <c r="G816" s="6" t="s">
        <v>78</v>
      </c>
      <c r="H816" s="6" t="s">
        <v>79</v>
      </c>
      <c r="I816" s="6">
        <v>5</v>
      </c>
      <c r="J816" s="8">
        <v>30700</v>
      </c>
      <c r="K816" s="9">
        <v>0.05</v>
      </c>
      <c r="L816" s="10">
        <v>145825</v>
      </c>
      <c r="M816" s="6">
        <v>90000</v>
      </c>
      <c r="N816" s="6">
        <v>55825</v>
      </c>
      <c r="O816" s="6" t="s">
        <v>68</v>
      </c>
      <c r="P816" s="6" t="s">
        <v>63</v>
      </c>
      <c r="Q816" s="6" t="s">
        <v>26</v>
      </c>
    </row>
    <row r="817" spans="1:17" x14ac:dyDescent="0.3">
      <c r="A817" s="6" t="s">
        <v>1362</v>
      </c>
      <c r="B817" s="7">
        <v>46164</v>
      </c>
      <c r="C817" s="6" t="s">
        <v>85</v>
      </c>
      <c r="D817" s="6" t="s">
        <v>86</v>
      </c>
      <c r="E817" s="6" t="s">
        <v>36</v>
      </c>
      <c r="F817" s="6" t="s">
        <v>37</v>
      </c>
      <c r="G817" s="6" t="s">
        <v>38</v>
      </c>
      <c r="H817" s="6" t="s">
        <v>214</v>
      </c>
      <c r="I817" s="6">
        <v>5</v>
      </c>
      <c r="J817" s="8">
        <v>43900</v>
      </c>
      <c r="K817" s="9">
        <v>0.02</v>
      </c>
      <c r="L817" s="10">
        <v>215110</v>
      </c>
      <c r="M817" s="6">
        <v>130000</v>
      </c>
      <c r="N817" s="6">
        <v>85110</v>
      </c>
      <c r="O817" s="6" t="s">
        <v>31</v>
      </c>
      <c r="P817" s="6" t="s">
        <v>32</v>
      </c>
      <c r="Q817" s="6" t="s">
        <v>26</v>
      </c>
    </row>
    <row r="818" spans="1:17" x14ac:dyDescent="0.3">
      <c r="A818" s="6" t="s">
        <v>1363</v>
      </c>
      <c r="B818" s="7">
        <v>46165</v>
      </c>
      <c r="C818" s="6" t="s">
        <v>228</v>
      </c>
      <c r="D818" s="6" t="s">
        <v>229</v>
      </c>
      <c r="E818" s="6" t="s">
        <v>20</v>
      </c>
      <c r="F818" s="6" t="s">
        <v>21</v>
      </c>
      <c r="G818" s="6" t="s">
        <v>78</v>
      </c>
      <c r="H818" s="6" t="s">
        <v>188</v>
      </c>
      <c r="I818" s="6">
        <v>5</v>
      </c>
      <c r="J818" s="8">
        <v>89200</v>
      </c>
      <c r="K818" s="9">
        <v>0.05</v>
      </c>
      <c r="L818" s="10">
        <v>423700</v>
      </c>
      <c r="M818" s="6">
        <v>260000</v>
      </c>
      <c r="N818" s="6">
        <v>163700</v>
      </c>
      <c r="O818" s="6" t="s">
        <v>104</v>
      </c>
      <c r="P818" s="6" t="s">
        <v>90</v>
      </c>
      <c r="Q818" s="6" t="s">
        <v>26</v>
      </c>
    </row>
    <row r="819" spans="1:17" x14ac:dyDescent="0.3">
      <c r="A819" s="6" t="s">
        <v>1364</v>
      </c>
      <c r="B819" s="7">
        <v>46165</v>
      </c>
      <c r="C819" s="6" t="s">
        <v>315</v>
      </c>
      <c r="D819" s="6" t="s">
        <v>316</v>
      </c>
      <c r="E819" s="6" t="s">
        <v>20</v>
      </c>
      <c r="F819" s="6" t="s">
        <v>62</v>
      </c>
      <c r="G819" s="6" t="s">
        <v>22</v>
      </c>
      <c r="H819" s="6" t="s">
        <v>58</v>
      </c>
      <c r="I819" s="6">
        <v>4</v>
      </c>
      <c r="J819" s="8">
        <v>88900</v>
      </c>
      <c r="K819" s="9">
        <v>0</v>
      </c>
      <c r="L819" s="10">
        <v>0</v>
      </c>
      <c r="M819" s="6">
        <v>0</v>
      </c>
      <c r="N819" s="6">
        <v>0</v>
      </c>
      <c r="O819" s="6" t="s">
        <v>104</v>
      </c>
      <c r="P819" s="6" t="s">
        <v>63</v>
      </c>
      <c r="Q819" s="6" t="s">
        <v>69</v>
      </c>
    </row>
    <row r="820" spans="1:17" x14ac:dyDescent="0.3">
      <c r="A820" s="6" t="s">
        <v>1365</v>
      </c>
      <c r="B820" s="7">
        <v>46166</v>
      </c>
      <c r="C820" s="6" t="s">
        <v>1366</v>
      </c>
      <c r="D820" s="6" t="s">
        <v>1367</v>
      </c>
      <c r="E820" s="6" t="s">
        <v>20</v>
      </c>
      <c r="F820" s="6" t="s">
        <v>20</v>
      </c>
      <c r="G820" s="6" t="s">
        <v>22</v>
      </c>
      <c r="H820" s="6" t="s">
        <v>58</v>
      </c>
      <c r="I820" s="6">
        <v>3</v>
      </c>
      <c r="J820" s="8">
        <v>87700</v>
      </c>
      <c r="K820" s="9">
        <v>0.08</v>
      </c>
      <c r="L820" s="10">
        <v>242052</v>
      </c>
      <c r="M820" s="6">
        <v>165000</v>
      </c>
      <c r="N820" s="6">
        <v>77052</v>
      </c>
      <c r="O820" s="6" t="s">
        <v>40</v>
      </c>
      <c r="P820" s="6" t="s">
        <v>25</v>
      </c>
      <c r="Q820" s="6" t="s">
        <v>26</v>
      </c>
    </row>
    <row r="821" spans="1:17" x14ac:dyDescent="0.3">
      <c r="A821" s="6" t="s">
        <v>1368</v>
      </c>
      <c r="B821" s="7">
        <v>46167</v>
      </c>
      <c r="C821" s="6" t="s">
        <v>953</v>
      </c>
      <c r="D821" s="6" t="s">
        <v>954</v>
      </c>
      <c r="E821" s="6" t="s">
        <v>20</v>
      </c>
      <c r="F821" s="6" t="s">
        <v>62</v>
      </c>
      <c r="G821" s="6" t="s">
        <v>22</v>
      </c>
      <c r="H821" s="6" t="s">
        <v>83</v>
      </c>
      <c r="I821" s="6">
        <v>3</v>
      </c>
      <c r="J821" s="8">
        <v>637100</v>
      </c>
      <c r="K821" s="9">
        <v>0.02</v>
      </c>
      <c r="L821" s="10">
        <v>1873074</v>
      </c>
      <c r="M821" s="6">
        <v>1410000</v>
      </c>
      <c r="N821" s="6">
        <v>463074</v>
      </c>
      <c r="O821" s="6" t="s">
        <v>31</v>
      </c>
      <c r="P821" s="6" t="s">
        <v>119</v>
      </c>
      <c r="Q821" s="6" t="s">
        <v>26</v>
      </c>
    </row>
    <row r="822" spans="1:17" x14ac:dyDescent="0.3">
      <c r="A822" s="6" t="s">
        <v>1369</v>
      </c>
      <c r="B822" s="7">
        <v>46167</v>
      </c>
      <c r="C822" s="6" t="s">
        <v>561</v>
      </c>
      <c r="D822" s="6" t="s">
        <v>562</v>
      </c>
      <c r="E822" s="6" t="s">
        <v>87</v>
      </c>
      <c r="F822" s="6" t="s">
        <v>131</v>
      </c>
      <c r="G822" s="6" t="s">
        <v>22</v>
      </c>
      <c r="H822" s="6" t="s">
        <v>58</v>
      </c>
      <c r="I822" s="6">
        <v>6</v>
      </c>
      <c r="J822" s="8">
        <v>95700</v>
      </c>
      <c r="K822" s="9">
        <v>0.08</v>
      </c>
      <c r="L822" s="10">
        <v>528264</v>
      </c>
      <c r="M822" s="6">
        <v>330000</v>
      </c>
      <c r="N822" s="6">
        <v>198264</v>
      </c>
      <c r="O822" s="6" t="s">
        <v>40</v>
      </c>
      <c r="P822" s="6" t="s">
        <v>90</v>
      </c>
      <c r="Q822" s="6" t="s">
        <v>26</v>
      </c>
    </row>
    <row r="823" spans="1:17" x14ac:dyDescent="0.3">
      <c r="A823" s="6" t="s">
        <v>1370</v>
      </c>
      <c r="B823" s="7">
        <v>46169</v>
      </c>
      <c r="C823" s="6" t="s">
        <v>616</v>
      </c>
      <c r="D823" s="6" t="s">
        <v>617</v>
      </c>
      <c r="E823" s="6" t="s">
        <v>36</v>
      </c>
      <c r="F823" s="6" t="s">
        <v>155</v>
      </c>
      <c r="G823" s="6" t="s">
        <v>38</v>
      </c>
      <c r="H823" s="6" t="s">
        <v>127</v>
      </c>
      <c r="I823" s="6">
        <v>2</v>
      </c>
      <c r="J823" s="8">
        <v>233200</v>
      </c>
      <c r="K823" s="9">
        <v>0.1</v>
      </c>
      <c r="L823" s="10">
        <v>419760</v>
      </c>
      <c r="M823" s="6">
        <v>330000</v>
      </c>
      <c r="N823" s="6">
        <v>89760</v>
      </c>
      <c r="O823" s="6" t="s">
        <v>104</v>
      </c>
      <c r="P823" s="6" t="s">
        <v>119</v>
      </c>
      <c r="Q823" s="6" t="s">
        <v>26</v>
      </c>
    </row>
    <row r="824" spans="1:17" x14ac:dyDescent="0.3">
      <c r="A824" s="6" t="s">
        <v>1371</v>
      </c>
      <c r="B824" s="7">
        <v>46170</v>
      </c>
      <c r="C824" s="6" t="s">
        <v>880</v>
      </c>
      <c r="D824" s="6" t="s">
        <v>881</v>
      </c>
      <c r="E824" s="6" t="s">
        <v>20</v>
      </c>
      <c r="F824" s="6" t="s">
        <v>21</v>
      </c>
      <c r="G824" s="6" t="s">
        <v>22</v>
      </c>
      <c r="H824" s="6" t="s">
        <v>49</v>
      </c>
      <c r="I824" s="6">
        <v>3</v>
      </c>
      <c r="J824" s="8">
        <v>1297300</v>
      </c>
      <c r="K824" s="9">
        <v>0.08</v>
      </c>
      <c r="L824" s="10">
        <v>3580548</v>
      </c>
      <c r="M824" s="6">
        <v>2850000</v>
      </c>
      <c r="N824" s="6">
        <v>730548</v>
      </c>
      <c r="O824" s="6" t="s">
        <v>40</v>
      </c>
      <c r="P824" s="6" t="s">
        <v>54</v>
      </c>
      <c r="Q824" s="6" t="s">
        <v>26</v>
      </c>
    </row>
    <row r="825" spans="1:17" x14ac:dyDescent="0.3">
      <c r="A825" s="6" t="s">
        <v>1372</v>
      </c>
      <c r="B825" s="7">
        <v>46171</v>
      </c>
      <c r="C825" s="6" t="s">
        <v>271</v>
      </c>
      <c r="D825" s="6" t="s">
        <v>272</v>
      </c>
      <c r="E825" s="6" t="s">
        <v>30</v>
      </c>
      <c r="F825" s="6" t="s">
        <v>159</v>
      </c>
      <c r="G825" s="6" t="s">
        <v>22</v>
      </c>
      <c r="H825" s="6" t="s">
        <v>83</v>
      </c>
      <c r="I825" s="6">
        <v>4</v>
      </c>
      <c r="J825" s="8">
        <v>685700</v>
      </c>
      <c r="K825" s="9">
        <v>0.02</v>
      </c>
      <c r="L825" s="10">
        <v>2687944</v>
      </c>
      <c r="M825" s="6">
        <v>1880000</v>
      </c>
      <c r="N825" s="6">
        <v>807944</v>
      </c>
      <c r="O825" s="6" t="s">
        <v>68</v>
      </c>
      <c r="P825" s="6" t="s">
        <v>74</v>
      </c>
      <c r="Q825" s="6" t="s">
        <v>26</v>
      </c>
    </row>
    <row r="826" spans="1:17" x14ac:dyDescent="0.3">
      <c r="A826" s="6" t="s">
        <v>1373</v>
      </c>
      <c r="B826" s="7">
        <v>46171</v>
      </c>
      <c r="C826" s="6" t="s">
        <v>619</v>
      </c>
      <c r="D826" s="6" t="s">
        <v>620</v>
      </c>
      <c r="E826" s="6" t="s">
        <v>20</v>
      </c>
      <c r="F826" s="6" t="s">
        <v>123</v>
      </c>
      <c r="G826" s="6" t="s">
        <v>78</v>
      </c>
      <c r="H826" s="6" t="s">
        <v>188</v>
      </c>
      <c r="I826" s="6">
        <v>4</v>
      </c>
      <c r="J826" s="8">
        <v>86800</v>
      </c>
      <c r="K826" s="9">
        <v>0.05</v>
      </c>
      <c r="L826" s="10">
        <v>329840</v>
      </c>
      <c r="M826" s="6">
        <v>208000</v>
      </c>
      <c r="N826" s="6">
        <v>121840</v>
      </c>
      <c r="O826" s="6" t="s">
        <v>104</v>
      </c>
      <c r="P826" s="6" t="s">
        <v>90</v>
      </c>
      <c r="Q826" s="6" t="s">
        <v>26</v>
      </c>
    </row>
    <row r="827" spans="1:17" x14ac:dyDescent="0.3">
      <c r="A827" s="6" t="s">
        <v>1374</v>
      </c>
      <c r="B827" s="7">
        <v>46172</v>
      </c>
      <c r="C827" s="6" t="s">
        <v>1324</v>
      </c>
      <c r="D827" s="6" t="s">
        <v>1325</v>
      </c>
      <c r="E827" s="6" t="s">
        <v>87</v>
      </c>
      <c r="F827" s="6" t="s">
        <v>131</v>
      </c>
      <c r="G827" s="6" t="s">
        <v>22</v>
      </c>
      <c r="H827" s="6" t="s">
        <v>83</v>
      </c>
      <c r="I827" s="6">
        <v>6</v>
      </c>
      <c r="J827" s="8">
        <v>615100</v>
      </c>
      <c r="K827" s="9">
        <v>0.02</v>
      </c>
      <c r="L827" s="10">
        <v>3616788</v>
      </c>
      <c r="M827" s="6">
        <v>2820000</v>
      </c>
      <c r="N827" s="6">
        <v>796788</v>
      </c>
      <c r="O827" s="6" t="s">
        <v>31</v>
      </c>
      <c r="P827" s="6" t="s">
        <v>25</v>
      </c>
      <c r="Q827" s="6" t="s">
        <v>26</v>
      </c>
    </row>
    <row r="828" spans="1:17" x14ac:dyDescent="0.3">
      <c r="A828" s="6" t="s">
        <v>1375</v>
      </c>
      <c r="B828" s="7">
        <v>46172</v>
      </c>
      <c r="C828" s="6" t="s">
        <v>985</v>
      </c>
      <c r="D828" s="6" t="s">
        <v>986</v>
      </c>
      <c r="E828" s="6" t="s">
        <v>87</v>
      </c>
      <c r="F828" s="6" t="s">
        <v>135</v>
      </c>
      <c r="G828" s="6" t="s">
        <v>38</v>
      </c>
      <c r="H828" s="6" t="s">
        <v>214</v>
      </c>
      <c r="I828" s="6">
        <v>1</v>
      </c>
      <c r="J828" s="8">
        <v>43600</v>
      </c>
      <c r="K828" s="9">
        <v>0</v>
      </c>
      <c r="L828" s="10">
        <v>43600</v>
      </c>
      <c r="M828" s="6">
        <v>26000</v>
      </c>
      <c r="N828" s="6">
        <v>17600</v>
      </c>
      <c r="O828" s="6" t="s">
        <v>31</v>
      </c>
      <c r="P828" s="6" t="s">
        <v>119</v>
      </c>
      <c r="Q828" s="6" t="s">
        <v>26</v>
      </c>
    </row>
    <row r="829" spans="1:17" x14ac:dyDescent="0.3">
      <c r="A829" s="6" t="s">
        <v>1376</v>
      </c>
      <c r="B829" s="7">
        <v>46172</v>
      </c>
      <c r="C829" s="6" t="s">
        <v>102</v>
      </c>
      <c r="D829" s="6" t="s">
        <v>103</v>
      </c>
      <c r="E829" s="6" t="s">
        <v>87</v>
      </c>
      <c r="F829" s="6" t="s">
        <v>131</v>
      </c>
      <c r="G829" s="6" t="s">
        <v>22</v>
      </c>
      <c r="H829" s="6" t="s">
        <v>23</v>
      </c>
      <c r="I829" s="6">
        <v>6</v>
      </c>
      <c r="J829" s="8">
        <v>453100</v>
      </c>
      <c r="K829" s="9">
        <v>0.1</v>
      </c>
      <c r="L829" s="10">
        <v>2446740</v>
      </c>
      <c r="M829" s="6">
        <v>1800000</v>
      </c>
      <c r="N829" s="6">
        <v>646740</v>
      </c>
      <c r="O829" s="6" t="s">
        <v>40</v>
      </c>
      <c r="P829" s="6" t="s">
        <v>119</v>
      </c>
      <c r="Q829" s="6" t="s">
        <v>26</v>
      </c>
    </row>
    <row r="830" spans="1:17" x14ac:dyDescent="0.3">
      <c r="A830" s="6" t="s">
        <v>1377</v>
      </c>
      <c r="B830" s="7">
        <v>46173</v>
      </c>
      <c r="C830" s="6" t="s">
        <v>129</v>
      </c>
      <c r="D830" s="6" t="s">
        <v>130</v>
      </c>
      <c r="E830" s="6" t="s">
        <v>30</v>
      </c>
      <c r="F830" s="6" t="s">
        <v>30</v>
      </c>
      <c r="G830" s="6" t="s">
        <v>22</v>
      </c>
      <c r="H830" s="6" t="s">
        <v>83</v>
      </c>
      <c r="I830" s="6">
        <v>4</v>
      </c>
      <c r="J830" s="8">
        <v>625700</v>
      </c>
      <c r="K830" s="9">
        <v>0.02</v>
      </c>
      <c r="L830" s="10">
        <v>2452744</v>
      </c>
      <c r="M830" s="6">
        <v>1880000</v>
      </c>
      <c r="N830" s="6">
        <v>572744</v>
      </c>
      <c r="O830" s="6" t="s">
        <v>31</v>
      </c>
      <c r="P830" s="6" t="s">
        <v>119</v>
      </c>
      <c r="Q830" s="6" t="s">
        <v>26</v>
      </c>
    </row>
    <row r="831" spans="1:17" x14ac:dyDescent="0.3">
      <c r="A831" s="6" t="s">
        <v>1378</v>
      </c>
      <c r="B831" s="7">
        <v>46174</v>
      </c>
      <c r="C831" s="6" t="s">
        <v>212</v>
      </c>
      <c r="D831" s="6" t="s">
        <v>213</v>
      </c>
      <c r="E831" s="6" t="s">
        <v>36</v>
      </c>
      <c r="F831" s="6" t="s">
        <v>37</v>
      </c>
      <c r="G831" s="6" t="s">
        <v>78</v>
      </c>
      <c r="H831" s="6" t="s">
        <v>115</v>
      </c>
      <c r="I831" s="6">
        <v>2</v>
      </c>
      <c r="J831" s="8">
        <v>91900</v>
      </c>
      <c r="K831" s="9">
        <v>0.05</v>
      </c>
      <c r="L831" s="10">
        <v>174610</v>
      </c>
      <c r="M831" s="6">
        <v>116000</v>
      </c>
      <c r="N831" s="6">
        <v>58610</v>
      </c>
      <c r="O831" s="6" t="s">
        <v>104</v>
      </c>
      <c r="P831" s="6" t="s">
        <v>74</v>
      </c>
      <c r="Q831" s="6" t="s">
        <v>26</v>
      </c>
    </row>
    <row r="832" spans="1:17" x14ac:dyDescent="0.3">
      <c r="A832" s="6" t="s">
        <v>1379</v>
      </c>
      <c r="B832" s="7">
        <v>46174</v>
      </c>
      <c r="C832" s="6" t="s">
        <v>209</v>
      </c>
      <c r="D832" s="6" t="s">
        <v>210</v>
      </c>
      <c r="E832" s="6" t="s">
        <v>30</v>
      </c>
      <c r="F832" s="6" t="s">
        <v>222</v>
      </c>
      <c r="G832" s="6" t="s">
        <v>78</v>
      </c>
      <c r="H832" s="6" t="s">
        <v>79</v>
      </c>
      <c r="I832" s="6">
        <v>3</v>
      </c>
      <c r="J832" s="8">
        <v>33600</v>
      </c>
      <c r="K832" s="9">
        <v>0.02</v>
      </c>
      <c r="L832" s="10">
        <v>98784</v>
      </c>
      <c r="M832" s="6">
        <v>54000</v>
      </c>
      <c r="N832" s="6">
        <v>44784</v>
      </c>
      <c r="O832" s="6" t="s">
        <v>68</v>
      </c>
      <c r="P832" s="6" t="s">
        <v>74</v>
      </c>
      <c r="Q832" s="6" t="s">
        <v>26</v>
      </c>
    </row>
    <row r="833" spans="1:17" x14ac:dyDescent="0.3">
      <c r="A833" s="6" t="s">
        <v>1380</v>
      </c>
      <c r="B833" s="7">
        <v>46175</v>
      </c>
      <c r="C833" s="6" t="s">
        <v>171</v>
      </c>
      <c r="D833" s="6" t="s">
        <v>172</v>
      </c>
      <c r="E833" s="6" t="s">
        <v>20</v>
      </c>
      <c r="F833" s="6" t="s">
        <v>20</v>
      </c>
      <c r="G833" s="6" t="s">
        <v>78</v>
      </c>
      <c r="H833" s="6" t="s">
        <v>79</v>
      </c>
      <c r="I833" s="6">
        <v>1</v>
      </c>
      <c r="J833" s="8">
        <v>32300</v>
      </c>
      <c r="K833" s="9">
        <v>0.05</v>
      </c>
      <c r="L833" s="10">
        <v>0</v>
      </c>
      <c r="M833" s="6">
        <v>0</v>
      </c>
      <c r="N833" s="6">
        <v>0</v>
      </c>
      <c r="O833" s="6" t="s">
        <v>24</v>
      </c>
      <c r="P833" s="6" t="s">
        <v>119</v>
      </c>
      <c r="Q833" s="6" t="s">
        <v>69</v>
      </c>
    </row>
    <row r="834" spans="1:17" x14ac:dyDescent="0.3">
      <c r="A834" s="6" t="s">
        <v>1381</v>
      </c>
      <c r="B834" s="7">
        <v>46176</v>
      </c>
      <c r="C834" s="6" t="s">
        <v>960</v>
      </c>
      <c r="D834" s="6" t="s">
        <v>961</v>
      </c>
      <c r="E834" s="6" t="s">
        <v>36</v>
      </c>
      <c r="F834" s="6" t="s">
        <v>155</v>
      </c>
      <c r="G834" s="6" t="s">
        <v>78</v>
      </c>
      <c r="H834" s="6" t="s">
        <v>79</v>
      </c>
      <c r="I834" s="6">
        <v>5</v>
      </c>
      <c r="J834" s="8">
        <v>32900</v>
      </c>
      <c r="K834" s="9">
        <v>0.02</v>
      </c>
      <c r="L834" s="10">
        <v>161210</v>
      </c>
      <c r="M834" s="6">
        <v>90000</v>
      </c>
      <c r="N834" s="6">
        <v>71210</v>
      </c>
      <c r="O834" s="6" t="s">
        <v>40</v>
      </c>
      <c r="P834" s="6" t="s">
        <v>25</v>
      </c>
      <c r="Q834" s="6" t="s">
        <v>26</v>
      </c>
    </row>
    <row r="835" spans="1:17" x14ac:dyDescent="0.3">
      <c r="A835" s="6" t="s">
        <v>1382</v>
      </c>
      <c r="B835" s="7">
        <v>46176</v>
      </c>
      <c r="C835" s="6" t="s">
        <v>95</v>
      </c>
      <c r="D835" s="6" t="s">
        <v>96</v>
      </c>
      <c r="E835" s="6" t="s">
        <v>36</v>
      </c>
      <c r="F835" s="6" t="s">
        <v>155</v>
      </c>
      <c r="G835" s="6" t="s">
        <v>78</v>
      </c>
      <c r="H835" s="6" t="s">
        <v>115</v>
      </c>
      <c r="I835" s="6">
        <v>3</v>
      </c>
      <c r="J835" s="8">
        <v>93400</v>
      </c>
      <c r="K835" s="9">
        <v>0.02</v>
      </c>
      <c r="L835" s="10">
        <v>274596</v>
      </c>
      <c r="M835" s="6">
        <v>174000</v>
      </c>
      <c r="N835" s="6">
        <v>100596</v>
      </c>
      <c r="O835" s="6" t="s">
        <v>104</v>
      </c>
      <c r="P835" s="6" t="s">
        <v>54</v>
      </c>
      <c r="Q835" s="6" t="s">
        <v>26</v>
      </c>
    </row>
    <row r="836" spans="1:17" x14ac:dyDescent="0.3">
      <c r="A836" s="6" t="s">
        <v>1383</v>
      </c>
      <c r="B836" s="7">
        <v>46177</v>
      </c>
      <c r="C836" s="6" t="s">
        <v>117</v>
      </c>
      <c r="D836" s="6" t="s">
        <v>118</v>
      </c>
      <c r="E836" s="6" t="s">
        <v>87</v>
      </c>
      <c r="F836" s="6" t="s">
        <v>135</v>
      </c>
      <c r="G836" s="6" t="s">
        <v>22</v>
      </c>
      <c r="H836" s="6" t="s">
        <v>83</v>
      </c>
      <c r="I836" s="6">
        <v>6</v>
      </c>
      <c r="J836" s="8">
        <v>698600</v>
      </c>
      <c r="K836" s="9">
        <v>0.1</v>
      </c>
      <c r="L836" s="10">
        <v>3772440</v>
      </c>
      <c r="M836" s="6">
        <v>2820000</v>
      </c>
      <c r="N836" s="6">
        <v>952440</v>
      </c>
      <c r="O836" s="6" t="s">
        <v>104</v>
      </c>
      <c r="P836" s="6" t="s">
        <v>74</v>
      </c>
      <c r="Q836" s="6" t="s">
        <v>26</v>
      </c>
    </row>
    <row r="837" spans="1:17" x14ac:dyDescent="0.3">
      <c r="A837" s="6" t="s">
        <v>1384</v>
      </c>
      <c r="B837" s="7">
        <v>46179</v>
      </c>
      <c r="C837" s="6" t="s">
        <v>161</v>
      </c>
      <c r="D837" s="6" t="s">
        <v>162</v>
      </c>
      <c r="E837" s="6" t="s">
        <v>36</v>
      </c>
      <c r="F837" s="6" t="s">
        <v>155</v>
      </c>
      <c r="G837" s="6" t="s">
        <v>78</v>
      </c>
      <c r="H837" s="6" t="s">
        <v>115</v>
      </c>
      <c r="I837" s="6">
        <v>2</v>
      </c>
      <c r="J837" s="8">
        <v>83400</v>
      </c>
      <c r="K837" s="9">
        <v>0.08</v>
      </c>
      <c r="L837" s="10">
        <v>153456</v>
      </c>
      <c r="M837" s="6">
        <v>116000</v>
      </c>
      <c r="N837" s="6">
        <v>37456</v>
      </c>
      <c r="O837" s="6" t="s">
        <v>31</v>
      </c>
      <c r="P837" s="6" t="s">
        <v>74</v>
      </c>
      <c r="Q837" s="6" t="s">
        <v>26</v>
      </c>
    </row>
    <row r="838" spans="1:17" x14ac:dyDescent="0.3">
      <c r="A838" s="6" t="s">
        <v>1385</v>
      </c>
      <c r="B838" s="7">
        <v>46179</v>
      </c>
      <c r="C838" s="6" t="s">
        <v>859</v>
      </c>
      <c r="D838" s="6" t="s">
        <v>860</v>
      </c>
      <c r="E838" s="6" t="s">
        <v>20</v>
      </c>
      <c r="F838" s="6" t="s">
        <v>62</v>
      </c>
      <c r="G838" s="6" t="s">
        <v>78</v>
      </c>
      <c r="H838" s="6" t="s">
        <v>115</v>
      </c>
      <c r="I838" s="6">
        <v>4</v>
      </c>
      <c r="J838" s="8">
        <v>96900</v>
      </c>
      <c r="K838" s="9">
        <v>0.02</v>
      </c>
      <c r="L838" s="10">
        <v>379848</v>
      </c>
      <c r="M838" s="6">
        <v>232000</v>
      </c>
      <c r="N838" s="6">
        <v>147848</v>
      </c>
      <c r="O838" s="6" t="s">
        <v>104</v>
      </c>
      <c r="P838" s="6" t="s">
        <v>119</v>
      </c>
      <c r="Q838" s="6" t="s">
        <v>26</v>
      </c>
    </row>
    <row r="839" spans="1:17" x14ac:dyDescent="0.3">
      <c r="A839" s="6" t="s">
        <v>1386</v>
      </c>
      <c r="B839" s="7">
        <v>46179</v>
      </c>
      <c r="C839" s="6" t="s">
        <v>42</v>
      </c>
      <c r="D839" s="6" t="s">
        <v>43</v>
      </c>
      <c r="E839" s="6" t="s">
        <v>67</v>
      </c>
      <c r="F839" s="6" t="s">
        <v>236</v>
      </c>
      <c r="G839" s="6" t="s">
        <v>22</v>
      </c>
      <c r="H839" s="6" t="s">
        <v>58</v>
      </c>
      <c r="I839" s="6">
        <v>4</v>
      </c>
      <c r="J839" s="8">
        <v>95600</v>
      </c>
      <c r="K839" s="9">
        <v>0</v>
      </c>
      <c r="L839" s="10">
        <v>382400</v>
      </c>
      <c r="M839" s="6">
        <v>220000</v>
      </c>
      <c r="N839" s="6">
        <v>162400</v>
      </c>
      <c r="O839" s="6" t="s">
        <v>68</v>
      </c>
      <c r="P839" s="6" t="s">
        <v>74</v>
      </c>
      <c r="Q839" s="6" t="s">
        <v>26</v>
      </c>
    </row>
    <row r="840" spans="1:17" x14ac:dyDescent="0.3">
      <c r="A840" s="6" t="s">
        <v>1387</v>
      </c>
      <c r="B840" s="7">
        <v>46179</v>
      </c>
      <c r="C840" s="6" t="s">
        <v>411</v>
      </c>
      <c r="D840" s="6" t="s">
        <v>412</v>
      </c>
      <c r="E840" s="6" t="s">
        <v>87</v>
      </c>
      <c r="F840" s="6" t="s">
        <v>131</v>
      </c>
      <c r="G840" s="6" t="s">
        <v>22</v>
      </c>
      <c r="H840" s="6" t="s">
        <v>23</v>
      </c>
      <c r="I840" s="6">
        <v>3</v>
      </c>
      <c r="J840" s="8">
        <v>408500</v>
      </c>
      <c r="K840" s="9">
        <v>0.05</v>
      </c>
      <c r="L840" s="10">
        <v>-1164225</v>
      </c>
      <c r="M840" s="6">
        <v>-900000</v>
      </c>
      <c r="N840" s="6">
        <v>-264225</v>
      </c>
      <c r="O840" s="6" t="s">
        <v>31</v>
      </c>
      <c r="P840" s="6" t="s">
        <v>63</v>
      </c>
      <c r="Q840" s="6" t="s">
        <v>105</v>
      </c>
    </row>
    <row r="841" spans="1:17" x14ac:dyDescent="0.3">
      <c r="A841" s="6" t="s">
        <v>1388</v>
      </c>
      <c r="B841" s="7">
        <v>46180</v>
      </c>
      <c r="C841" s="6" t="s">
        <v>177</v>
      </c>
      <c r="D841" s="6" t="s">
        <v>178</v>
      </c>
      <c r="E841" s="6" t="s">
        <v>36</v>
      </c>
      <c r="F841" s="6" t="s">
        <v>36</v>
      </c>
      <c r="G841" s="6" t="s">
        <v>22</v>
      </c>
      <c r="H841" s="6" t="s">
        <v>83</v>
      </c>
      <c r="I841" s="6">
        <v>2</v>
      </c>
      <c r="J841" s="8">
        <v>630200</v>
      </c>
      <c r="K841" s="9">
        <v>0.05</v>
      </c>
      <c r="L841" s="10">
        <v>1197380</v>
      </c>
      <c r="M841" s="6">
        <v>940000</v>
      </c>
      <c r="N841" s="6">
        <v>257380</v>
      </c>
      <c r="O841" s="6" t="s">
        <v>31</v>
      </c>
      <c r="P841" s="6" t="s">
        <v>90</v>
      </c>
      <c r="Q841" s="6" t="s">
        <v>26</v>
      </c>
    </row>
    <row r="842" spans="1:17" x14ac:dyDescent="0.3">
      <c r="A842" s="6" t="s">
        <v>1389</v>
      </c>
      <c r="B842" s="7">
        <v>46180</v>
      </c>
      <c r="C842" s="6" t="s">
        <v>217</v>
      </c>
      <c r="D842" s="6" t="s">
        <v>218</v>
      </c>
      <c r="E842" s="6" t="s">
        <v>20</v>
      </c>
      <c r="F842" s="6" t="s">
        <v>21</v>
      </c>
      <c r="G842" s="6" t="s">
        <v>44</v>
      </c>
      <c r="H842" s="6" t="s">
        <v>45</v>
      </c>
      <c r="I842" s="6">
        <v>3</v>
      </c>
      <c r="J842" s="8">
        <v>482500</v>
      </c>
      <c r="K842" s="9">
        <v>0.05</v>
      </c>
      <c r="L842" s="10">
        <v>1375125</v>
      </c>
      <c r="M842" s="6">
        <v>1095000</v>
      </c>
      <c r="N842" s="6">
        <v>280125</v>
      </c>
      <c r="O842" s="6" t="s">
        <v>24</v>
      </c>
      <c r="P842" s="6" t="s">
        <v>119</v>
      </c>
      <c r="Q842" s="6" t="s">
        <v>26</v>
      </c>
    </row>
    <row r="843" spans="1:17" x14ac:dyDescent="0.3">
      <c r="A843" s="6" t="s">
        <v>1390</v>
      </c>
      <c r="B843" s="7">
        <v>46180</v>
      </c>
      <c r="C843" s="6" t="s">
        <v>81</v>
      </c>
      <c r="D843" s="6" t="s">
        <v>82</v>
      </c>
      <c r="E843" s="6" t="s">
        <v>20</v>
      </c>
      <c r="F843" s="6" t="s">
        <v>62</v>
      </c>
      <c r="G843" s="6" t="s">
        <v>78</v>
      </c>
      <c r="H843" s="6" t="s">
        <v>115</v>
      </c>
      <c r="I843" s="6">
        <v>4</v>
      </c>
      <c r="J843" s="8">
        <v>96500</v>
      </c>
      <c r="K843" s="9">
        <v>0.15</v>
      </c>
      <c r="L843" s="10">
        <v>328100</v>
      </c>
      <c r="M843" s="6">
        <v>232000</v>
      </c>
      <c r="N843" s="6">
        <v>96100</v>
      </c>
      <c r="O843" s="6" t="s">
        <v>68</v>
      </c>
      <c r="P843" s="6" t="s">
        <v>90</v>
      </c>
      <c r="Q843" s="6" t="s">
        <v>26</v>
      </c>
    </row>
    <row r="844" spans="1:17" x14ac:dyDescent="0.3">
      <c r="A844" s="6" t="s">
        <v>1391</v>
      </c>
      <c r="B844" s="7">
        <v>46181</v>
      </c>
      <c r="C844" s="6" t="s">
        <v>393</v>
      </c>
      <c r="D844" s="6" t="s">
        <v>394</v>
      </c>
      <c r="E844" s="6" t="s">
        <v>67</v>
      </c>
      <c r="F844" s="6" t="s">
        <v>236</v>
      </c>
      <c r="G844" s="6" t="s">
        <v>38</v>
      </c>
      <c r="H844" s="6" t="s">
        <v>39</v>
      </c>
      <c r="I844" s="6">
        <v>7</v>
      </c>
      <c r="J844" s="8">
        <v>28200</v>
      </c>
      <c r="K844" s="9">
        <v>0.05</v>
      </c>
      <c r="L844" s="10">
        <v>187530</v>
      </c>
      <c r="M844" s="6">
        <v>105000</v>
      </c>
      <c r="N844" s="6">
        <v>82530</v>
      </c>
      <c r="O844" s="6" t="s">
        <v>31</v>
      </c>
      <c r="P844" s="6" t="s">
        <v>119</v>
      </c>
      <c r="Q844" s="6" t="s">
        <v>26</v>
      </c>
    </row>
    <row r="845" spans="1:17" x14ac:dyDescent="0.3">
      <c r="A845" s="6" t="s">
        <v>1392</v>
      </c>
      <c r="B845" s="7">
        <v>46182</v>
      </c>
      <c r="C845" s="6" t="s">
        <v>1036</v>
      </c>
      <c r="D845" s="6" t="s">
        <v>1037</v>
      </c>
      <c r="E845" s="6" t="s">
        <v>20</v>
      </c>
      <c r="F845" s="6" t="s">
        <v>21</v>
      </c>
      <c r="G845" s="6" t="s">
        <v>38</v>
      </c>
      <c r="H845" s="6" t="s">
        <v>127</v>
      </c>
      <c r="I845" s="6">
        <v>5</v>
      </c>
      <c r="J845" s="8">
        <v>240100</v>
      </c>
      <c r="K845" s="9">
        <v>0</v>
      </c>
      <c r="L845" s="10">
        <v>1200500</v>
      </c>
      <c r="M845" s="6">
        <v>825000</v>
      </c>
      <c r="N845" s="6">
        <v>375500</v>
      </c>
      <c r="O845" s="6" t="s">
        <v>68</v>
      </c>
      <c r="P845" s="6" t="s">
        <v>163</v>
      </c>
      <c r="Q845" s="6" t="s">
        <v>26</v>
      </c>
    </row>
    <row r="846" spans="1:17" x14ac:dyDescent="0.3">
      <c r="A846" s="6" t="s">
        <v>1393</v>
      </c>
      <c r="B846" s="7">
        <v>46182</v>
      </c>
      <c r="C846" s="6" t="s">
        <v>814</v>
      </c>
      <c r="D846" s="6" t="s">
        <v>815</v>
      </c>
      <c r="E846" s="6" t="s">
        <v>20</v>
      </c>
      <c r="F846" s="6" t="s">
        <v>123</v>
      </c>
      <c r="G846" s="6" t="s">
        <v>44</v>
      </c>
      <c r="H846" s="6" t="s">
        <v>89</v>
      </c>
      <c r="I846" s="6">
        <v>2</v>
      </c>
      <c r="J846" s="8">
        <v>188900</v>
      </c>
      <c r="K846" s="9">
        <v>0.05</v>
      </c>
      <c r="L846" s="10">
        <v>-358910</v>
      </c>
      <c r="M846" s="6">
        <v>-230000</v>
      </c>
      <c r="N846" s="6">
        <v>-128910</v>
      </c>
      <c r="O846" s="6" t="s">
        <v>24</v>
      </c>
      <c r="P846" s="6" t="s">
        <v>54</v>
      </c>
      <c r="Q846" s="6" t="s">
        <v>105</v>
      </c>
    </row>
    <row r="847" spans="1:17" x14ac:dyDescent="0.3">
      <c r="A847" s="6" t="s">
        <v>1394</v>
      </c>
      <c r="B847" s="7">
        <v>46182</v>
      </c>
      <c r="C847" s="6" t="s">
        <v>1176</v>
      </c>
      <c r="D847" s="6" t="s">
        <v>1177</v>
      </c>
      <c r="E847" s="6" t="s">
        <v>30</v>
      </c>
      <c r="F847" s="6" t="s">
        <v>159</v>
      </c>
      <c r="G847" s="6" t="s">
        <v>22</v>
      </c>
      <c r="H847" s="6" t="s">
        <v>49</v>
      </c>
      <c r="I847" s="6">
        <v>1</v>
      </c>
      <c r="J847" s="8">
        <v>1251100</v>
      </c>
      <c r="K847" s="9">
        <v>0.08</v>
      </c>
      <c r="L847" s="10">
        <v>1151012</v>
      </c>
      <c r="M847" s="6">
        <v>950000</v>
      </c>
      <c r="N847" s="6">
        <v>201012</v>
      </c>
      <c r="O847" s="6" t="s">
        <v>104</v>
      </c>
      <c r="P847" s="6" t="s">
        <v>90</v>
      </c>
      <c r="Q847" s="6" t="s">
        <v>26</v>
      </c>
    </row>
    <row r="848" spans="1:17" x14ac:dyDescent="0.3">
      <c r="A848" s="6" t="s">
        <v>1395</v>
      </c>
      <c r="B848" s="7">
        <v>46183</v>
      </c>
      <c r="C848" s="6" t="s">
        <v>475</v>
      </c>
      <c r="D848" s="6" t="s">
        <v>476</v>
      </c>
      <c r="E848" s="6" t="s">
        <v>20</v>
      </c>
      <c r="F848" s="6" t="s">
        <v>21</v>
      </c>
      <c r="G848" s="6" t="s">
        <v>78</v>
      </c>
      <c r="H848" s="6" t="s">
        <v>79</v>
      </c>
      <c r="I848" s="6">
        <v>6</v>
      </c>
      <c r="J848" s="8">
        <v>31500</v>
      </c>
      <c r="K848" s="9">
        <v>0.02</v>
      </c>
      <c r="L848" s="10">
        <v>185220</v>
      </c>
      <c r="M848" s="6">
        <v>108000</v>
      </c>
      <c r="N848" s="6">
        <v>77220</v>
      </c>
      <c r="O848" s="6" t="s">
        <v>24</v>
      </c>
      <c r="P848" s="6" t="s">
        <v>32</v>
      </c>
      <c r="Q848" s="6" t="s">
        <v>26</v>
      </c>
    </row>
    <row r="849" spans="1:17" x14ac:dyDescent="0.3">
      <c r="A849" s="6" t="s">
        <v>1396</v>
      </c>
      <c r="B849" s="7">
        <v>46184</v>
      </c>
      <c r="C849" s="6" t="s">
        <v>393</v>
      </c>
      <c r="D849" s="6" t="s">
        <v>394</v>
      </c>
      <c r="E849" s="6" t="s">
        <v>20</v>
      </c>
      <c r="F849" s="6" t="s">
        <v>62</v>
      </c>
      <c r="G849" s="6" t="s">
        <v>44</v>
      </c>
      <c r="H849" s="6" t="s">
        <v>73</v>
      </c>
      <c r="I849" s="6">
        <v>1</v>
      </c>
      <c r="J849" s="8">
        <v>293700</v>
      </c>
      <c r="K849" s="9">
        <v>0.1</v>
      </c>
      <c r="L849" s="10">
        <v>264330</v>
      </c>
      <c r="M849" s="6">
        <v>210000</v>
      </c>
      <c r="N849" s="6">
        <v>54330</v>
      </c>
      <c r="O849" s="6" t="s">
        <v>24</v>
      </c>
      <c r="P849" s="6" t="s">
        <v>163</v>
      </c>
      <c r="Q849" s="6" t="s">
        <v>26</v>
      </c>
    </row>
    <row r="850" spans="1:17" x14ac:dyDescent="0.3">
      <c r="A850" s="6" t="s">
        <v>1397</v>
      </c>
      <c r="B850" s="7">
        <v>46184</v>
      </c>
      <c r="C850" s="6" t="s">
        <v>550</v>
      </c>
      <c r="D850" s="6" t="s">
        <v>551</v>
      </c>
      <c r="E850" s="6" t="s">
        <v>67</v>
      </c>
      <c r="F850" s="6" t="s">
        <v>100</v>
      </c>
      <c r="G850" s="6" t="s">
        <v>38</v>
      </c>
      <c r="H850" s="6" t="s">
        <v>39</v>
      </c>
      <c r="I850" s="6">
        <v>5</v>
      </c>
      <c r="J850" s="8">
        <v>28700</v>
      </c>
      <c r="K850" s="9">
        <v>0</v>
      </c>
      <c r="L850" s="10">
        <v>143500</v>
      </c>
      <c r="M850" s="6">
        <v>75000</v>
      </c>
      <c r="N850" s="6">
        <v>68500</v>
      </c>
      <c r="O850" s="6" t="s">
        <v>40</v>
      </c>
      <c r="P850" s="6" t="s">
        <v>54</v>
      </c>
      <c r="Q850" s="6" t="s">
        <v>26</v>
      </c>
    </row>
    <row r="851" spans="1:17" x14ac:dyDescent="0.3">
      <c r="A851" s="6" t="s">
        <v>1398</v>
      </c>
      <c r="B851" s="7">
        <v>46184</v>
      </c>
      <c r="C851" s="6" t="s">
        <v>622</v>
      </c>
      <c r="D851" s="6" t="s">
        <v>623</v>
      </c>
      <c r="E851" s="6" t="s">
        <v>20</v>
      </c>
      <c r="F851" s="6" t="s">
        <v>123</v>
      </c>
      <c r="G851" s="6" t="s">
        <v>22</v>
      </c>
      <c r="H851" s="6" t="s">
        <v>58</v>
      </c>
      <c r="I851" s="6">
        <v>1</v>
      </c>
      <c r="J851" s="8">
        <v>99000</v>
      </c>
      <c r="K851" s="9">
        <v>0.08</v>
      </c>
      <c r="L851" s="10">
        <v>91080</v>
      </c>
      <c r="M851" s="6">
        <v>55000</v>
      </c>
      <c r="N851" s="6">
        <v>36080</v>
      </c>
      <c r="O851" s="6" t="s">
        <v>24</v>
      </c>
      <c r="P851" s="6" t="s">
        <v>119</v>
      </c>
      <c r="Q851" s="6" t="s">
        <v>26</v>
      </c>
    </row>
    <row r="852" spans="1:17" x14ac:dyDescent="0.3">
      <c r="A852" s="6" t="s">
        <v>1399</v>
      </c>
      <c r="B852" s="7">
        <v>46184</v>
      </c>
      <c r="C852" s="6" t="s">
        <v>241</v>
      </c>
      <c r="D852" s="6" t="s">
        <v>242</v>
      </c>
      <c r="E852" s="6" t="s">
        <v>30</v>
      </c>
      <c r="F852" s="6" t="s">
        <v>159</v>
      </c>
      <c r="G852" s="6" t="s">
        <v>22</v>
      </c>
      <c r="H852" s="6" t="s">
        <v>49</v>
      </c>
      <c r="I852" s="6">
        <v>4</v>
      </c>
      <c r="J852" s="8">
        <v>1262600</v>
      </c>
      <c r="K852" s="9">
        <v>0.05</v>
      </c>
      <c r="L852" s="10">
        <v>4797880</v>
      </c>
      <c r="M852" s="6">
        <v>3800000</v>
      </c>
      <c r="N852" s="6">
        <v>997880</v>
      </c>
      <c r="O852" s="6" t="s">
        <v>24</v>
      </c>
      <c r="P852" s="6" t="s">
        <v>90</v>
      </c>
      <c r="Q852" s="6" t="s">
        <v>26</v>
      </c>
    </row>
    <row r="853" spans="1:17" x14ac:dyDescent="0.3">
      <c r="A853" s="6" t="s">
        <v>1400</v>
      </c>
      <c r="B853" s="7">
        <v>46185</v>
      </c>
      <c r="C853" s="6" t="s">
        <v>778</v>
      </c>
      <c r="D853" s="6" t="s">
        <v>779</v>
      </c>
      <c r="E853" s="6" t="s">
        <v>20</v>
      </c>
      <c r="F853" s="6" t="s">
        <v>21</v>
      </c>
      <c r="G853" s="6" t="s">
        <v>38</v>
      </c>
      <c r="H853" s="6" t="s">
        <v>127</v>
      </c>
      <c r="I853" s="6">
        <v>6</v>
      </c>
      <c r="J853" s="8">
        <v>229100</v>
      </c>
      <c r="K853" s="9">
        <v>0.08</v>
      </c>
      <c r="L853" s="10">
        <v>1264632</v>
      </c>
      <c r="M853" s="6">
        <v>990000</v>
      </c>
      <c r="N853" s="6">
        <v>274632</v>
      </c>
      <c r="O853" s="6" t="s">
        <v>68</v>
      </c>
      <c r="P853" s="6" t="s">
        <v>32</v>
      </c>
      <c r="Q853" s="6" t="s">
        <v>26</v>
      </c>
    </row>
    <row r="854" spans="1:17" x14ac:dyDescent="0.3">
      <c r="A854" s="6" t="s">
        <v>1401</v>
      </c>
      <c r="B854" s="7">
        <v>46185</v>
      </c>
      <c r="C854" s="6" t="s">
        <v>806</v>
      </c>
      <c r="D854" s="6" t="s">
        <v>807</v>
      </c>
      <c r="E854" s="6" t="s">
        <v>87</v>
      </c>
      <c r="F854" s="6" t="s">
        <v>88</v>
      </c>
      <c r="G854" s="6" t="s">
        <v>38</v>
      </c>
      <c r="H854" s="6" t="s">
        <v>39</v>
      </c>
      <c r="I854" s="6">
        <v>2</v>
      </c>
      <c r="J854" s="8">
        <v>27900</v>
      </c>
      <c r="K854" s="9">
        <v>0.02</v>
      </c>
      <c r="L854" s="10">
        <v>54684</v>
      </c>
      <c r="M854" s="6">
        <v>30000</v>
      </c>
      <c r="N854" s="6">
        <v>24684</v>
      </c>
      <c r="O854" s="6" t="s">
        <v>24</v>
      </c>
      <c r="P854" s="6" t="s">
        <v>32</v>
      </c>
      <c r="Q854" s="6" t="s">
        <v>26</v>
      </c>
    </row>
    <row r="855" spans="1:17" x14ac:dyDescent="0.3">
      <c r="A855" s="6" t="s">
        <v>1402</v>
      </c>
      <c r="B855" s="7">
        <v>46185</v>
      </c>
      <c r="C855" s="6" t="s">
        <v>512</v>
      </c>
      <c r="D855" s="6" t="s">
        <v>513</v>
      </c>
      <c r="E855" s="6" t="s">
        <v>20</v>
      </c>
      <c r="F855" s="6" t="s">
        <v>123</v>
      </c>
      <c r="G855" s="6" t="s">
        <v>38</v>
      </c>
      <c r="H855" s="6" t="s">
        <v>127</v>
      </c>
      <c r="I855" s="6">
        <v>6</v>
      </c>
      <c r="J855" s="8">
        <v>236700</v>
      </c>
      <c r="K855" s="9">
        <v>0.02</v>
      </c>
      <c r="L855" s="10">
        <v>1391796</v>
      </c>
      <c r="M855" s="6">
        <v>990000</v>
      </c>
      <c r="N855" s="6">
        <v>401796</v>
      </c>
      <c r="O855" s="6" t="s">
        <v>24</v>
      </c>
      <c r="P855" s="6" t="s">
        <v>54</v>
      </c>
      <c r="Q855" s="6" t="s">
        <v>26</v>
      </c>
    </row>
    <row r="856" spans="1:17" x14ac:dyDescent="0.3">
      <c r="A856" s="6" t="s">
        <v>1403</v>
      </c>
      <c r="B856" s="7">
        <v>46185</v>
      </c>
      <c r="C856" s="6" t="s">
        <v>133</v>
      </c>
      <c r="D856" s="6" t="s">
        <v>134</v>
      </c>
      <c r="E856" s="6" t="s">
        <v>36</v>
      </c>
      <c r="F856" s="6" t="s">
        <v>36</v>
      </c>
      <c r="G856" s="6" t="s">
        <v>38</v>
      </c>
      <c r="H856" s="6" t="s">
        <v>39</v>
      </c>
      <c r="I856" s="6">
        <v>4</v>
      </c>
      <c r="J856" s="8">
        <v>29600</v>
      </c>
      <c r="K856" s="9">
        <v>0</v>
      </c>
      <c r="L856" s="10">
        <v>-118400</v>
      </c>
      <c r="M856" s="6">
        <v>-60000</v>
      </c>
      <c r="N856" s="6">
        <v>-58400</v>
      </c>
      <c r="O856" s="6" t="s">
        <v>40</v>
      </c>
      <c r="P856" s="6" t="s">
        <v>90</v>
      </c>
      <c r="Q856" s="6" t="s">
        <v>105</v>
      </c>
    </row>
    <row r="857" spans="1:17" x14ac:dyDescent="0.3">
      <c r="A857" s="6" t="s">
        <v>1404</v>
      </c>
      <c r="B857" s="7">
        <v>46185</v>
      </c>
      <c r="C857" s="6" t="s">
        <v>508</v>
      </c>
      <c r="D857" s="6" t="s">
        <v>509</v>
      </c>
      <c r="E857" s="6" t="s">
        <v>36</v>
      </c>
      <c r="F857" s="6" t="s">
        <v>155</v>
      </c>
      <c r="G857" s="6" t="s">
        <v>38</v>
      </c>
      <c r="H857" s="6" t="s">
        <v>53</v>
      </c>
      <c r="I857" s="6">
        <v>5</v>
      </c>
      <c r="J857" s="8">
        <v>389200</v>
      </c>
      <c r="K857" s="9">
        <v>0.05</v>
      </c>
      <c r="L857" s="10">
        <v>1848700</v>
      </c>
      <c r="M857" s="6">
        <v>1400000</v>
      </c>
      <c r="N857" s="6">
        <v>448700</v>
      </c>
      <c r="O857" s="6" t="s">
        <v>24</v>
      </c>
      <c r="P857" s="6" t="s">
        <v>54</v>
      </c>
      <c r="Q857" s="6" t="s">
        <v>26</v>
      </c>
    </row>
    <row r="858" spans="1:17" x14ac:dyDescent="0.3">
      <c r="A858" s="6" t="s">
        <v>1405</v>
      </c>
      <c r="B858" s="7">
        <v>46185</v>
      </c>
      <c r="C858" s="6" t="s">
        <v>1197</v>
      </c>
      <c r="D858" s="6" t="s">
        <v>1198</v>
      </c>
      <c r="E858" s="6" t="s">
        <v>20</v>
      </c>
      <c r="F858" s="6" t="s">
        <v>62</v>
      </c>
      <c r="G858" s="6" t="s">
        <v>22</v>
      </c>
      <c r="H858" s="6" t="s">
        <v>83</v>
      </c>
      <c r="I858" s="6">
        <v>6</v>
      </c>
      <c r="J858" s="8">
        <v>637900</v>
      </c>
      <c r="K858" s="9">
        <v>0.05</v>
      </c>
      <c r="L858" s="10">
        <v>3636030</v>
      </c>
      <c r="M858" s="6">
        <v>2820000</v>
      </c>
      <c r="N858" s="6">
        <v>816030</v>
      </c>
      <c r="O858" s="6" t="s">
        <v>104</v>
      </c>
      <c r="P858" s="6" t="s">
        <v>63</v>
      </c>
      <c r="Q858" s="6" t="s">
        <v>26</v>
      </c>
    </row>
    <row r="859" spans="1:17" x14ac:dyDescent="0.3">
      <c r="A859" s="6" t="s">
        <v>1406</v>
      </c>
      <c r="B859" s="7">
        <v>46186</v>
      </c>
      <c r="C859" s="6" t="s">
        <v>18</v>
      </c>
      <c r="D859" s="6" t="s">
        <v>19</v>
      </c>
      <c r="E859" s="6" t="s">
        <v>20</v>
      </c>
      <c r="F859" s="6" t="s">
        <v>62</v>
      </c>
      <c r="G859" s="6" t="s">
        <v>38</v>
      </c>
      <c r="H859" s="6" t="s">
        <v>53</v>
      </c>
      <c r="I859" s="6">
        <v>2</v>
      </c>
      <c r="J859" s="8">
        <v>401100</v>
      </c>
      <c r="K859" s="9">
        <v>0.02</v>
      </c>
      <c r="L859" s="10">
        <v>786156</v>
      </c>
      <c r="M859" s="6">
        <v>560000</v>
      </c>
      <c r="N859" s="6">
        <v>226156</v>
      </c>
      <c r="O859" s="6" t="s">
        <v>31</v>
      </c>
      <c r="P859" s="6" t="s">
        <v>32</v>
      </c>
      <c r="Q859" s="6" t="s">
        <v>26</v>
      </c>
    </row>
    <row r="860" spans="1:17" x14ac:dyDescent="0.3">
      <c r="A860" s="6" t="s">
        <v>1407</v>
      </c>
      <c r="B860" s="7">
        <v>46187</v>
      </c>
      <c r="C860" s="6" t="s">
        <v>381</v>
      </c>
      <c r="D860" s="6" t="s">
        <v>382</v>
      </c>
      <c r="E860" s="6" t="s">
        <v>30</v>
      </c>
      <c r="F860" s="6" t="s">
        <v>30</v>
      </c>
      <c r="G860" s="6" t="s">
        <v>78</v>
      </c>
      <c r="H860" s="6" t="s">
        <v>318</v>
      </c>
      <c r="I860" s="6">
        <v>7</v>
      </c>
      <c r="J860" s="8">
        <v>75500</v>
      </c>
      <c r="K860" s="9">
        <v>0.1</v>
      </c>
      <c r="L860" s="10">
        <v>0</v>
      </c>
      <c r="M860" s="6">
        <v>0</v>
      </c>
      <c r="N860" s="6">
        <v>0</v>
      </c>
      <c r="O860" s="6" t="s">
        <v>40</v>
      </c>
      <c r="P860" s="6" t="s">
        <v>54</v>
      </c>
      <c r="Q860" s="6" t="s">
        <v>69</v>
      </c>
    </row>
    <row r="861" spans="1:17" x14ac:dyDescent="0.3">
      <c r="A861" s="6" t="s">
        <v>1408</v>
      </c>
      <c r="B861" s="7">
        <v>46187</v>
      </c>
      <c r="C861" s="6" t="s">
        <v>92</v>
      </c>
      <c r="D861" s="6" t="s">
        <v>93</v>
      </c>
      <c r="E861" s="6" t="s">
        <v>87</v>
      </c>
      <c r="F861" s="6" t="s">
        <v>135</v>
      </c>
      <c r="G861" s="6" t="s">
        <v>38</v>
      </c>
      <c r="H861" s="6" t="s">
        <v>214</v>
      </c>
      <c r="I861" s="6">
        <v>3</v>
      </c>
      <c r="J861" s="8">
        <v>41400</v>
      </c>
      <c r="K861" s="9">
        <v>0.08</v>
      </c>
      <c r="L861" s="10">
        <v>114264</v>
      </c>
      <c r="M861" s="6">
        <v>78000</v>
      </c>
      <c r="N861" s="6">
        <v>36264</v>
      </c>
      <c r="O861" s="6" t="s">
        <v>104</v>
      </c>
      <c r="P861" s="6" t="s">
        <v>74</v>
      </c>
      <c r="Q861" s="6" t="s">
        <v>26</v>
      </c>
    </row>
    <row r="862" spans="1:17" x14ac:dyDescent="0.3">
      <c r="A862" s="6" t="s">
        <v>1409</v>
      </c>
      <c r="B862" s="7">
        <v>46187</v>
      </c>
      <c r="C862" s="6" t="s">
        <v>381</v>
      </c>
      <c r="D862" s="6" t="s">
        <v>382</v>
      </c>
      <c r="E862" s="6" t="s">
        <v>20</v>
      </c>
      <c r="F862" s="6" t="s">
        <v>20</v>
      </c>
      <c r="G862" s="6" t="s">
        <v>22</v>
      </c>
      <c r="H862" s="6" t="s">
        <v>58</v>
      </c>
      <c r="I862" s="6">
        <v>1</v>
      </c>
      <c r="J862" s="8">
        <v>102600</v>
      </c>
      <c r="K862" s="9">
        <v>0</v>
      </c>
      <c r="L862" s="10">
        <v>102600</v>
      </c>
      <c r="M862" s="6">
        <v>55000</v>
      </c>
      <c r="N862" s="6">
        <v>47600</v>
      </c>
      <c r="O862" s="6" t="s">
        <v>40</v>
      </c>
      <c r="P862" s="6" t="s">
        <v>163</v>
      </c>
      <c r="Q862" s="6" t="s">
        <v>26</v>
      </c>
    </row>
    <row r="863" spans="1:17" x14ac:dyDescent="0.3">
      <c r="A863" s="6" t="s">
        <v>1410</v>
      </c>
      <c r="B863" s="7">
        <v>46187</v>
      </c>
      <c r="C863" s="6" t="s">
        <v>512</v>
      </c>
      <c r="D863" s="6" t="s">
        <v>513</v>
      </c>
      <c r="E863" s="6" t="s">
        <v>67</v>
      </c>
      <c r="F863" s="6" t="s">
        <v>100</v>
      </c>
      <c r="G863" s="6" t="s">
        <v>38</v>
      </c>
      <c r="H863" s="6" t="s">
        <v>214</v>
      </c>
      <c r="I863" s="6">
        <v>1</v>
      </c>
      <c r="J863" s="8">
        <v>47100</v>
      </c>
      <c r="K863" s="9">
        <v>0.02</v>
      </c>
      <c r="L863" s="10">
        <v>46158</v>
      </c>
      <c r="M863" s="6">
        <v>26000</v>
      </c>
      <c r="N863" s="6">
        <v>20158</v>
      </c>
      <c r="O863" s="6" t="s">
        <v>24</v>
      </c>
      <c r="P863" s="6" t="s">
        <v>119</v>
      </c>
      <c r="Q863" s="6" t="s">
        <v>26</v>
      </c>
    </row>
    <row r="864" spans="1:17" x14ac:dyDescent="0.3">
      <c r="A864" s="6" t="s">
        <v>1411</v>
      </c>
      <c r="B864" s="7">
        <v>46188</v>
      </c>
      <c r="C864" s="6" t="s">
        <v>616</v>
      </c>
      <c r="D864" s="6" t="s">
        <v>617</v>
      </c>
      <c r="E864" s="6" t="s">
        <v>67</v>
      </c>
      <c r="F864" s="6" t="s">
        <v>236</v>
      </c>
      <c r="G864" s="6" t="s">
        <v>44</v>
      </c>
      <c r="H864" s="6" t="s">
        <v>89</v>
      </c>
      <c r="I864" s="6">
        <v>1</v>
      </c>
      <c r="J864" s="8">
        <v>185800</v>
      </c>
      <c r="K864" s="9">
        <v>0.05</v>
      </c>
      <c r="L864" s="10">
        <v>0</v>
      </c>
      <c r="M864" s="6">
        <v>0</v>
      </c>
      <c r="N864" s="6">
        <v>0</v>
      </c>
      <c r="O864" s="6" t="s">
        <v>31</v>
      </c>
      <c r="P864" s="6" t="s">
        <v>25</v>
      </c>
      <c r="Q864" s="6" t="s">
        <v>69</v>
      </c>
    </row>
    <row r="865" spans="1:17" x14ac:dyDescent="0.3">
      <c r="A865" s="6" t="s">
        <v>1412</v>
      </c>
      <c r="B865" s="7">
        <v>46189</v>
      </c>
      <c r="C865" s="6" t="s">
        <v>76</v>
      </c>
      <c r="D865" s="6" t="s">
        <v>77</v>
      </c>
      <c r="E865" s="6" t="s">
        <v>20</v>
      </c>
      <c r="F865" s="6" t="s">
        <v>123</v>
      </c>
      <c r="G865" s="6" t="s">
        <v>38</v>
      </c>
      <c r="H865" s="6" t="s">
        <v>214</v>
      </c>
      <c r="I865" s="6">
        <v>7</v>
      </c>
      <c r="J865" s="8">
        <v>44700</v>
      </c>
      <c r="K865" s="9">
        <v>0.05</v>
      </c>
      <c r="L865" s="10">
        <v>297255</v>
      </c>
      <c r="M865" s="6">
        <v>182000</v>
      </c>
      <c r="N865" s="6">
        <v>115255</v>
      </c>
      <c r="O865" s="6" t="s">
        <v>40</v>
      </c>
      <c r="P865" s="6" t="s">
        <v>54</v>
      </c>
      <c r="Q865" s="6" t="s">
        <v>26</v>
      </c>
    </row>
    <row r="866" spans="1:17" x14ac:dyDescent="0.3">
      <c r="A866" s="6" t="s">
        <v>1413</v>
      </c>
      <c r="B866" s="7">
        <v>46190</v>
      </c>
      <c r="C866" s="6" t="s">
        <v>390</v>
      </c>
      <c r="D866" s="6" t="s">
        <v>391</v>
      </c>
      <c r="E866" s="6" t="s">
        <v>30</v>
      </c>
      <c r="F866" s="6" t="s">
        <v>30</v>
      </c>
      <c r="G866" s="6" t="s">
        <v>78</v>
      </c>
      <c r="H866" s="6" t="s">
        <v>79</v>
      </c>
      <c r="I866" s="6">
        <v>3</v>
      </c>
      <c r="J866" s="8">
        <v>32300</v>
      </c>
      <c r="K866" s="9">
        <v>0.08</v>
      </c>
      <c r="L866" s="10">
        <v>89148</v>
      </c>
      <c r="M866" s="6">
        <v>54000</v>
      </c>
      <c r="N866" s="6">
        <v>35148</v>
      </c>
      <c r="O866" s="6" t="s">
        <v>24</v>
      </c>
      <c r="P866" s="6" t="s">
        <v>63</v>
      </c>
      <c r="Q866" s="6" t="s">
        <v>26</v>
      </c>
    </row>
    <row r="867" spans="1:17" x14ac:dyDescent="0.3">
      <c r="A867" s="6" t="s">
        <v>1414</v>
      </c>
      <c r="B867" s="7">
        <v>46190</v>
      </c>
      <c r="C867" s="6" t="s">
        <v>645</v>
      </c>
      <c r="D867" s="6" t="s">
        <v>646</v>
      </c>
      <c r="E867" s="6" t="s">
        <v>36</v>
      </c>
      <c r="F867" s="6" t="s">
        <v>155</v>
      </c>
      <c r="G867" s="6" t="s">
        <v>38</v>
      </c>
      <c r="H867" s="6" t="s">
        <v>214</v>
      </c>
      <c r="I867" s="6">
        <v>1</v>
      </c>
      <c r="J867" s="8">
        <v>44000</v>
      </c>
      <c r="K867" s="9">
        <v>0.15</v>
      </c>
      <c r="L867" s="10">
        <v>37400</v>
      </c>
      <c r="M867" s="6">
        <v>26000</v>
      </c>
      <c r="N867" s="6">
        <v>11400</v>
      </c>
      <c r="O867" s="6" t="s">
        <v>40</v>
      </c>
      <c r="P867" s="6" t="s">
        <v>74</v>
      </c>
      <c r="Q867" s="6" t="s">
        <v>26</v>
      </c>
    </row>
    <row r="868" spans="1:17" x14ac:dyDescent="0.3">
      <c r="A868" s="6" t="s">
        <v>1415</v>
      </c>
      <c r="B868" s="7">
        <v>46191</v>
      </c>
      <c r="C868" s="6" t="s">
        <v>60</v>
      </c>
      <c r="D868" s="6" t="s">
        <v>61</v>
      </c>
      <c r="E868" s="6" t="s">
        <v>87</v>
      </c>
      <c r="F868" s="6" t="s">
        <v>88</v>
      </c>
      <c r="G868" s="6" t="s">
        <v>38</v>
      </c>
      <c r="H868" s="6" t="s">
        <v>53</v>
      </c>
      <c r="I868" s="6">
        <v>2</v>
      </c>
      <c r="J868" s="8">
        <v>356100</v>
      </c>
      <c r="K868" s="9">
        <v>0.15</v>
      </c>
      <c r="L868" s="10">
        <v>605370</v>
      </c>
      <c r="M868" s="6">
        <v>560000</v>
      </c>
      <c r="N868" s="6">
        <v>45370</v>
      </c>
      <c r="O868" s="6" t="s">
        <v>68</v>
      </c>
      <c r="P868" s="6" t="s">
        <v>63</v>
      </c>
      <c r="Q868" s="6" t="s">
        <v>26</v>
      </c>
    </row>
    <row r="869" spans="1:17" x14ac:dyDescent="0.3">
      <c r="A869" s="6" t="s">
        <v>1416</v>
      </c>
      <c r="B869" s="7">
        <v>46191</v>
      </c>
      <c r="C869" s="6" t="s">
        <v>693</v>
      </c>
      <c r="D869" s="6" t="s">
        <v>694</v>
      </c>
      <c r="E869" s="6" t="s">
        <v>20</v>
      </c>
      <c r="F869" s="6" t="s">
        <v>62</v>
      </c>
      <c r="G869" s="6" t="s">
        <v>44</v>
      </c>
      <c r="H869" s="6" t="s">
        <v>45</v>
      </c>
      <c r="I869" s="6">
        <v>7</v>
      </c>
      <c r="J869" s="8">
        <v>500500</v>
      </c>
      <c r="K869" s="9">
        <v>0</v>
      </c>
      <c r="L869" s="10">
        <v>3503500</v>
      </c>
      <c r="M869" s="6">
        <v>2555000</v>
      </c>
      <c r="N869" s="6">
        <v>948500</v>
      </c>
      <c r="O869" s="6" t="s">
        <v>24</v>
      </c>
      <c r="P869" s="6" t="s">
        <v>163</v>
      </c>
      <c r="Q869" s="6" t="s">
        <v>26</v>
      </c>
    </row>
    <row r="870" spans="1:17" x14ac:dyDescent="0.3">
      <c r="A870" s="6" t="s">
        <v>1417</v>
      </c>
      <c r="B870" s="7">
        <v>46192</v>
      </c>
      <c r="C870" s="6" t="s">
        <v>345</v>
      </c>
      <c r="D870" s="6" t="s">
        <v>346</v>
      </c>
      <c r="E870" s="6" t="s">
        <v>20</v>
      </c>
      <c r="F870" s="6" t="s">
        <v>20</v>
      </c>
      <c r="G870" s="6" t="s">
        <v>38</v>
      </c>
      <c r="H870" s="6" t="s">
        <v>127</v>
      </c>
      <c r="I870" s="6">
        <v>1</v>
      </c>
      <c r="J870" s="8">
        <v>252600</v>
      </c>
      <c r="K870" s="9">
        <v>0</v>
      </c>
      <c r="L870" s="10">
        <v>252600</v>
      </c>
      <c r="M870" s="6">
        <v>165000</v>
      </c>
      <c r="N870" s="6">
        <v>87600</v>
      </c>
      <c r="O870" s="6" t="s">
        <v>31</v>
      </c>
      <c r="P870" s="6" t="s">
        <v>63</v>
      </c>
      <c r="Q870" s="6" t="s">
        <v>26</v>
      </c>
    </row>
    <row r="871" spans="1:17" x14ac:dyDescent="0.3">
      <c r="A871" s="6" t="s">
        <v>1418</v>
      </c>
      <c r="B871" s="7">
        <v>46193</v>
      </c>
      <c r="C871" s="6" t="s">
        <v>950</v>
      </c>
      <c r="D871" s="6" t="s">
        <v>951</v>
      </c>
      <c r="E871" s="6" t="s">
        <v>87</v>
      </c>
      <c r="F871" s="6" t="s">
        <v>135</v>
      </c>
      <c r="G871" s="6" t="s">
        <v>78</v>
      </c>
      <c r="H871" s="6" t="s">
        <v>188</v>
      </c>
      <c r="I871" s="6">
        <v>3</v>
      </c>
      <c r="J871" s="8">
        <v>83400</v>
      </c>
      <c r="K871" s="9">
        <v>0.05</v>
      </c>
      <c r="L871" s="10">
        <v>237690</v>
      </c>
      <c r="M871" s="6">
        <v>156000</v>
      </c>
      <c r="N871" s="6">
        <v>81690</v>
      </c>
      <c r="O871" s="6" t="s">
        <v>31</v>
      </c>
      <c r="P871" s="6" t="s">
        <v>163</v>
      </c>
      <c r="Q871" s="6" t="s">
        <v>26</v>
      </c>
    </row>
    <row r="872" spans="1:17" x14ac:dyDescent="0.3">
      <c r="A872" s="6" t="s">
        <v>1419</v>
      </c>
      <c r="B872" s="7">
        <v>46194</v>
      </c>
      <c r="C872" s="6" t="s">
        <v>492</v>
      </c>
      <c r="D872" s="6" t="s">
        <v>493</v>
      </c>
      <c r="E872" s="6" t="s">
        <v>87</v>
      </c>
      <c r="F872" s="6" t="s">
        <v>131</v>
      </c>
      <c r="G872" s="6" t="s">
        <v>44</v>
      </c>
      <c r="H872" s="6" t="s">
        <v>45</v>
      </c>
      <c r="I872" s="6">
        <v>1</v>
      </c>
      <c r="J872" s="8">
        <v>519900</v>
      </c>
      <c r="K872" s="9">
        <v>0</v>
      </c>
      <c r="L872" s="10">
        <v>519900</v>
      </c>
      <c r="M872" s="6">
        <v>365000</v>
      </c>
      <c r="N872" s="6">
        <v>154900</v>
      </c>
      <c r="O872" s="6" t="s">
        <v>68</v>
      </c>
      <c r="P872" s="6" t="s">
        <v>32</v>
      </c>
      <c r="Q872" s="6" t="s">
        <v>26</v>
      </c>
    </row>
    <row r="873" spans="1:17" x14ac:dyDescent="0.3">
      <c r="A873" s="6" t="s">
        <v>1420</v>
      </c>
      <c r="B873" s="7">
        <v>46194</v>
      </c>
      <c r="C873" s="6" t="s">
        <v>859</v>
      </c>
      <c r="D873" s="6" t="s">
        <v>860</v>
      </c>
      <c r="E873" s="6" t="s">
        <v>20</v>
      </c>
      <c r="F873" s="6" t="s">
        <v>62</v>
      </c>
      <c r="G873" s="6" t="s">
        <v>44</v>
      </c>
      <c r="H873" s="6" t="s">
        <v>89</v>
      </c>
      <c r="I873" s="6">
        <v>2</v>
      </c>
      <c r="J873" s="8">
        <v>167900</v>
      </c>
      <c r="K873" s="9">
        <v>0.08</v>
      </c>
      <c r="L873" s="10">
        <v>308936</v>
      </c>
      <c r="M873" s="6">
        <v>230000</v>
      </c>
      <c r="N873" s="6">
        <v>78936</v>
      </c>
      <c r="O873" s="6" t="s">
        <v>31</v>
      </c>
      <c r="P873" s="6" t="s">
        <v>54</v>
      </c>
      <c r="Q873" s="6" t="s">
        <v>26</v>
      </c>
    </row>
    <row r="874" spans="1:17" x14ac:dyDescent="0.3">
      <c r="A874" s="6" t="s">
        <v>1421</v>
      </c>
      <c r="B874" s="7">
        <v>46194</v>
      </c>
      <c r="C874" s="6" t="s">
        <v>1080</v>
      </c>
      <c r="D874" s="6" t="s">
        <v>1081</v>
      </c>
      <c r="E874" s="6" t="s">
        <v>36</v>
      </c>
      <c r="F874" s="6" t="s">
        <v>155</v>
      </c>
      <c r="G874" s="6" t="s">
        <v>22</v>
      </c>
      <c r="H874" s="6" t="s">
        <v>49</v>
      </c>
      <c r="I874" s="6">
        <v>5</v>
      </c>
      <c r="J874" s="8">
        <v>1259100</v>
      </c>
      <c r="K874" s="9">
        <v>0</v>
      </c>
      <c r="L874" s="10">
        <v>6295500</v>
      </c>
      <c r="M874" s="6">
        <v>4750000</v>
      </c>
      <c r="N874" s="6">
        <v>1545500</v>
      </c>
      <c r="O874" s="6" t="s">
        <v>31</v>
      </c>
      <c r="P874" s="6" t="s">
        <v>25</v>
      </c>
      <c r="Q874" s="6" t="s">
        <v>26</v>
      </c>
    </row>
    <row r="875" spans="1:17" x14ac:dyDescent="0.3">
      <c r="A875" s="6" t="s">
        <v>1422</v>
      </c>
      <c r="B875" s="7">
        <v>46194</v>
      </c>
      <c r="C875" s="6" t="s">
        <v>1077</v>
      </c>
      <c r="D875" s="6" t="s">
        <v>1078</v>
      </c>
      <c r="E875" s="6" t="s">
        <v>20</v>
      </c>
      <c r="F875" s="6" t="s">
        <v>21</v>
      </c>
      <c r="G875" s="6" t="s">
        <v>44</v>
      </c>
      <c r="H875" s="6" t="s">
        <v>89</v>
      </c>
      <c r="I875" s="6">
        <v>2</v>
      </c>
      <c r="J875" s="8">
        <v>181400</v>
      </c>
      <c r="K875" s="9">
        <v>0.05</v>
      </c>
      <c r="L875" s="10">
        <v>-344660</v>
      </c>
      <c r="M875" s="6">
        <v>-230000</v>
      </c>
      <c r="N875" s="6">
        <v>-114660</v>
      </c>
      <c r="O875" s="6" t="s">
        <v>31</v>
      </c>
      <c r="P875" s="6" t="s">
        <v>74</v>
      </c>
      <c r="Q875" s="6" t="s">
        <v>105</v>
      </c>
    </row>
    <row r="876" spans="1:17" x14ac:dyDescent="0.3">
      <c r="A876" s="6" t="s">
        <v>1423</v>
      </c>
      <c r="B876" s="7">
        <v>46194</v>
      </c>
      <c r="C876" s="6" t="s">
        <v>171</v>
      </c>
      <c r="D876" s="6" t="s">
        <v>172</v>
      </c>
      <c r="E876" s="6" t="s">
        <v>20</v>
      </c>
      <c r="F876" s="6" t="s">
        <v>20</v>
      </c>
      <c r="G876" s="6" t="s">
        <v>38</v>
      </c>
      <c r="H876" s="6" t="s">
        <v>127</v>
      </c>
      <c r="I876" s="6">
        <v>4</v>
      </c>
      <c r="J876" s="8">
        <v>232800</v>
      </c>
      <c r="K876" s="9">
        <v>0.05</v>
      </c>
      <c r="L876" s="10">
        <v>884640</v>
      </c>
      <c r="M876" s="6">
        <v>660000</v>
      </c>
      <c r="N876" s="6">
        <v>224640</v>
      </c>
      <c r="O876" s="6" t="s">
        <v>24</v>
      </c>
      <c r="P876" s="6" t="s">
        <v>63</v>
      </c>
      <c r="Q876" s="6" t="s">
        <v>26</v>
      </c>
    </row>
    <row r="877" spans="1:17" x14ac:dyDescent="0.3">
      <c r="A877" s="6" t="s">
        <v>1424</v>
      </c>
      <c r="B877" s="7">
        <v>46195</v>
      </c>
      <c r="C877" s="6" t="s">
        <v>60</v>
      </c>
      <c r="D877" s="6" t="s">
        <v>61</v>
      </c>
      <c r="E877" s="6" t="s">
        <v>36</v>
      </c>
      <c r="F877" s="6" t="s">
        <v>37</v>
      </c>
      <c r="G877" s="6" t="s">
        <v>22</v>
      </c>
      <c r="H877" s="6" t="s">
        <v>49</v>
      </c>
      <c r="I877" s="6">
        <v>2</v>
      </c>
      <c r="J877" s="8">
        <v>1315900</v>
      </c>
      <c r="K877" s="9">
        <v>0</v>
      </c>
      <c r="L877" s="10">
        <v>-2631800</v>
      </c>
      <c r="M877" s="6">
        <v>-1900000</v>
      </c>
      <c r="N877" s="6">
        <v>-731800</v>
      </c>
      <c r="O877" s="6" t="s">
        <v>104</v>
      </c>
      <c r="P877" s="6" t="s">
        <v>54</v>
      </c>
      <c r="Q877" s="6" t="s">
        <v>105</v>
      </c>
    </row>
    <row r="878" spans="1:17" x14ac:dyDescent="0.3">
      <c r="A878" s="6" t="s">
        <v>1425</v>
      </c>
      <c r="B878" s="7">
        <v>46195</v>
      </c>
      <c r="C878" s="6" t="s">
        <v>529</v>
      </c>
      <c r="D878" s="6" t="s">
        <v>530</v>
      </c>
      <c r="E878" s="6" t="s">
        <v>67</v>
      </c>
      <c r="F878" s="6" t="s">
        <v>67</v>
      </c>
      <c r="G878" s="6" t="s">
        <v>22</v>
      </c>
      <c r="H878" s="6" t="s">
        <v>58</v>
      </c>
      <c r="I878" s="6">
        <v>1</v>
      </c>
      <c r="J878" s="8">
        <v>97900</v>
      </c>
      <c r="K878" s="9">
        <v>0.08</v>
      </c>
      <c r="L878" s="10">
        <v>90068</v>
      </c>
      <c r="M878" s="6">
        <v>55000</v>
      </c>
      <c r="N878" s="6">
        <v>35068</v>
      </c>
      <c r="O878" s="6" t="s">
        <v>31</v>
      </c>
      <c r="P878" s="6" t="s">
        <v>119</v>
      </c>
      <c r="Q878" s="6" t="s">
        <v>26</v>
      </c>
    </row>
    <row r="879" spans="1:17" x14ac:dyDescent="0.3">
      <c r="A879" s="6" t="s">
        <v>1426</v>
      </c>
      <c r="B879" s="7">
        <v>46195</v>
      </c>
      <c r="C879" s="6" t="s">
        <v>817</v>
      </c>
      <c r="D879" s="6" t="s">
        <v>818</v>
      </c>
      <c r="E879" s="6" t="s">
        <v>30</v>
      </c>
      <c r="F879" s="6" t="s">
        <v>159</v>
      </c>
      <c r="G879" s="6" t="s">
        <v>22</v>
      </c>
      <c r="H879" s="6" t="s">
        <v>58</v>
      </c>
      <c r="I879" s="6">
        <v>5</v>
      </c>
      <c r="J879" s="8">
        <v>93800</v>
      </c>
      <c r="K879" s="9">
        <v>0</v>
      </c>
      <c r="L879" s="10">
        <v>469000</v>
      </c>
      <c r="M879" s="6">
        <v>275000</v>
      </c>
      <c r="N879" s="6">
        <v>194000</v>
      </c>
      <c r="O879" s="6" t="s">
        <v>24</v>
      </c>
      <c r="P879" s="6" t="s">
        <v>32</v>
      </c>
      <c r="Q879" s="6" t="s">
        <v>26</v>
      </c>
    </row>
    <row r="880" spans="1:17" x14ac:dyDescent="0.3">
      <c r="A880" s="6" t="s">
        <v>1427</v>
      </c>
      <c r="B880" s="7">
        <v>46196</v>
      </c>
      <c r="C880" s="6" t="s">
        <v>719</v>
      </c>
      <c r="D880" s="6" t="s">
        <v>720</v>
      </c>
      <c r="E880" s="6" t="s">
        <v>30</v>
      </c>
      <c r="F880" s="6" t="s">
        <v>30</v>
      </c>
      <c r="G880" s="6" t="s">
        <v>44</v>
      </c>
      <c r="H880" s="6" t="s">
        <v>45</v>
      </c>
      <c r="I880" s="6">
        <v>4</v>
      </c>
      <c r="J880" s="8">
        <v>526100</v>
      </c>
      <c r="K880" s="9">
        <v>0</v>
      </c>
      <c r="L880" s="10">
        <v>-2104400</v>
      </c>
      <c r="M880" s="6">
        <v>-1460000</v>
      </c>
      <c r="N880" s="6">
        <v>-644400</v>
      </c>
      <c r="O880" s="6" t="s">
        <v>31</v>
      </c>
      <c r="P880" s="6" t="s">
        <v>119</v>
      </c>
      <c r="Q880" s="6" t="s">
        <v>105</v>
      </c>
    </row>
    <row r="881" spans="1:17" x14ac:dyDescent="0.3">
      <c r="A881" s="6" t="s">
        <v>1428</v>
      </c>
      <c r="B881" s="7">
        <v>46197</v>
      </c>
      <c r="C881" s="6" t="s">
        <v>1429</v>
      </c>
      <c r="D881" s="6" t="s">
        <v>1430</v>
      </c>
      <c r="E881" s="6" t="s">
        <v>20</v>
      </c>
      <c r="F881" s="6" t="s">
        <v>123</v>
      </c>
      <c r="G881" s="6" t="s">
        <v>22</v>
      </c>
      <c r="H881" s="6" t="s">
        <v>23</v>
      </c>
      <c r="I881" s="6">
        <v>3</v>
      </c>
      <c r="J881" s="8">
        <v>431400</v>
      </c>
      <c r="K881" s="9">
        <v>0</v>
      </c>
      <c r="L881" s="10">
        <v>1294200</v>
      </c>
      <c r="M881" s="6">
        <v>900000</v>
      </c>
      <c r="N881" s="6">
        <v>394200</v>
      </c>
      <c r="O881" s="6" t="s">
        <v>31</v>
      </c>
      <c r="P881" s="6" t="s">
        <v>54</v>
      </c>
      <c r="Q881" s="6" t="s">
        <v>26</v>
      </c>
    </row>
    <row r="882" spans="1:17" x14ac:dyDescent="0.3">
      <c r="A882" s="6" t="s">
        <v>1431</v>
      </c>
      <c r="B882" s="7">
        <v>46197</v>
      </c>
      <c r="C882" s="6" t="s">
        <v>521</v>
      </c>
      <c r="D882" s="6" t="s">
        <v>522</v>
      </c>
      <c r="E882" s="6" t="s">
        <v>20</v>
      </c>
      <c r="F882" s="6" t="s">
        <v>20</v>
      </c>
      <c r="G882" s="6" t="s">
        <v>22</v>
      </c>
      <c r="H882" s="6" t="s">
        <v>23</v>
      </c>
      <c r="I882" s="6">
        <v>6</v>
      </c>
      <c r="J882" s="8">
        <v>388600</v>
      </c>
      <c r="K882" s="9">
        <v>0.02</v>
      </c>
      <c r="L882" s="10">
        <v>2284968</v>
      </c>
      <c r="M882" s="6">
        <v>1800000</v>
      </c>
      <c r="N882" s="6">
        <v>484968</v>
      </c>
      <c r="O882" s="6" t="s">
        <v>31</v>
      </c>
      <c r="P882" s="6" t="s">
        <v>32</v>
      </c>
      <c r="Q882" s="6" t="s">
        <v>26</v>
      </c>
    </row>
    <row r="883" spans="1:17" x14ac:dyDescent="0.3">
      <c r="A883" s="6" t="s">
        <v>1432</v>
      </c>
      <c r="B883" s="7">
        <v>46197</v>
      </c>
      <c r="C883" s="6" t="s">
        <v>1279</v>
      </c>
      <c r="D883" s="6" t="s">
        <v>1280</v>
      </c>
      <c r="E883" s="6" t="s">
        <v>20</v>
      </c>
      <c r="F883" s="6" t="s">
        <v>62</v>
      </c>
      <c r="G883" s="6" t="s">
        <v>22</v>
      </c>
      <c r="H883" s="6" t="s">
        <v>49</v>
      </c>
      <c r="I883" s="6">
        <v>3</v>
      </c>
      <c r="J883" s="8">
        <v>1196600</v>
      </c>
      <c r="K883" s="9">
        <v>0</v>
      </c>
      <c r="L883" s="10">
        <v>3589800</v>
      </c>
      <c r="M883" s="6">
        <v>2850000</v>
      </c>
      <c r="N883" s="6">
        <v>739800</v>
      </c>
      <c r="O883" s="6" t="s">
        <v>104</v>
      </c>
      <c r="P883" s="6" t="s">
        <v>74</v>
      </c>
      <c r="Q883" s="6" t="s">
        <v>26</v>
      </c>
    </row>
    <row r="884" spans="1:17" x14ac:dyDescent="0.3">
      <c r="A884" s="6" t="s">
        <v>1433</v>
      </c>
      <c r="B884" s="7">
        <v>46198</v>
      </c>
      <c r="C884" s="6" t="s">
        <v>56</v>
      </c>
      <c r="D884" s="6" t="s">
        <v>57</v>
      </c>
      <c r="E884" s="6" t="s">
        <v>20</v>
      </c>
      <c r="F884" s="6" t="s">
        <v>123</v>
      </c>
      <c r="G884" s="6" t="s">
        <v>22</v>
      </c>
      <c r="H884" s="6" t="s">
        <v>23</v>
      </c>
      <c r="I884" s="6">
        <v>4</v>
      </c>
      <c r="J884" s="8">
        <v>401300</v>
      </c>
      <c r="K884" s="9">
        <v>0.05</v>
      </c>
      <c r="L884" s="10">
        <v>1524940</v>
      </c>
      <c r="M884" s="6">
        <v>1200000</v>
      </c>
      <c r="N884" s="6">
        <v>324940</v>
      </c>
      <c r="O884" s="6" t="s">
        <v>104</v>
      </c>
      <c r="P884" s="6" t="s">
        <v>74</v>
      </c>
      <c r="Q884" s="6" t="s">
        <v>26</v>
      </c>
    </row>
    <row r="885" spans="1:17" x14ac:dyDescent="0.3">
      <c r="A885" s="6" t="s">
        <v>1434</v>
      </c>
      <c r="B885" s="7">
        <v>46200</v>
      </c>
      <c r="C885" s="6" t="s">
        <v>396</v>
      </c>
      <c r="D885" s="6" t="s">
        <v>397</v>
      </c>
      <c r="E885" s="6" t="s">
        <v>20</v>
      </c>
      <c r="F885" s="6" t="s">
        <v>62</v>
      </c>
      <c r="G885" s="6" t="s">
        <v>22</v>
      </c>
      <c r="H885" s="6" t="s">
        <v>23</v>
      </c>
      <c r="I885" s="6">
        <v>5</v>
      </c>
      <c r="J885" s="8">
        <v>447200</v>
      </c>
      <c r="K885" s="9">
        <v>0.15</v>
      </c>
      <c r="L885" s="10">
        <v>0</v>
      </c>
      <c r="M885" s="6">
        <v>0</v>
      </c>
      <c r="N885" s="6">
        <v>0</v>
      </c>
      <c r="O885" s="6" t="s">
        <v>40</v>
      </c>
      <c r="P885" s="6" t="s">
        <v>25</v>
      </c>
      <c r="Q885" s="6" t="s">
        <v>69</v>
      </c>
    </row>
    <row r="886" spans="1:17" x14ac:dyDescent="0.3">
      <c r="A886" s="6" t="s">
        <v>1435</v>
      </c>
      <c r="B886" s="7">
        <v>46201</v>
      </c>
      <c r="C886" s="6" t="s">
        <v>464</v>
      </c>
      <c r="D886" s="6" t="s">
        <v>465</v>
      </c>
      <c r="E886" s="6" t="s">
        <v>67</v>
      </c>
      <c r="F886" s="6" t="s">
        <v>100</v>
      </c>
      <c r="G886" s="6" t="s">
        <v>78</v>
      </c>
      <c r="H886" s="6" t="s">
        <v>115</v>
      </c>
      <c r="I886" s="6">
        <v>1</v>
      </c>
      <c r="J886" s="8">
        <v>93300</v>
      </c>
      <c r="K886" s="9">
        <v>0.05</v>
      </c>
      <c r="L886" s="10">
        <v>88635</v>
      </c>
      <c r="M886" s="6">
        <v>58000</v>
      </c>
      <c r="N886" s="6">
        <v>30635</v>
      </c>
      <c r="O886" s="6" t="s">
        <v>24</v>
      </c>
      <c r="P886" s="6" t="s">
        <v>74</v>
      </c>
      <c r="Q886" s="6" t="s">
        <v>26</v>
      </c>
    </row>
    <row r="887" spans="1:17" x14ac:dyDescent="0.3">
      <c r="A887" s="6" t="s">
        <v>1436</v>
      </c>
      <c r="B887" s="7">
        <v>46203</v>
      </c>
      <c r="C887" s="6" t="s">
        <v>143</v>
      </c>
      <c r="D887" s="6" t="s">
        <v>144</v>
      </c>
      <c r="E887" s="6" t="s">
        <v>36</v>
      </c>
      <c r="F887" s="6" t="s">
        <v>155</v>
      </c>
      <c r="G887" s="6" t="s">
        <v>38</v>
      </c>
      <c r="H887" s="6" t="s">
        <v>39</v>
      </c>
      <c r="I887" s="6">
        <v>6</v>
      </c>
      <c r="J887" s="8">
        <v>28800</v>
      </c>
      <c r="K887" s="9">
        <v>0.02</v>
      </c>
      <c r="L887" s="10">
        <v>169344</v>
      </c>
      <c r="M887" s="6">
        <v>90000</v>
      </c>
      <c r="N887" s="6">
        <v>79344</v>
      </c>
      <c r="O887" s="6" t="s">
        <v>24</v>
      </c>
      <c r="P887" s="6" t="s">
        <v>119</v>
      </c>
      <c r="Q887" s="6" t="s">
        <v>26</v>
      </c>
    </row>
    <row r="888" spans="1:17" x14ac:dyDescent="0.3">
      <c r="A888" s="6" t="s">
        <v>1437</v>
      </c>
      <c r="B888" s="7">
        <v>46203</v>
      </c>
      <c r="C888" s="6" t="s">
        <v>603</v>
      </c>
      <c r="D888" s="6" t="s">
        <v>604</v>
      </c>
      <c r="E888" s="6" t="s">
        <v>30</v>
      </c>
      <c r="F888" s="6" t="s">
        <v>30</v>
      </c>
      <c r="G888" s="6" t="s">
        <v>78</v>
      </c>
      <c r="H888" s="6" t="s">
        <v>188</v>
      </c>
      <c r="I888" s="6">
        <v>7</v>
      </c>
      <c r="J888" s="8">
        <v>82300</v>
      </c>
      <c r="K888" s="9">
        <v>0.1</v>
      </c>
      <c r="L888" s="10">
        <v>518490</v>
      </c>
      <c r="M888" s="6">
        <v>364000</v>
      </c>
      <c r="N888" s="6">
        <v>154490</v>
      </c>
      <c r="O888" s="6" t="s">
        <v>31</v>
      </c>
      <c r="P888" s="6" t="s">
        <v>25</v>
      </c>
      <c r="Q888" s="6" t="s">
        <v>26</v>
      </c>
    </row>
    <row r="889" spans="1:17" x14ac:dyDescent="0.3">
      <c r="A889" s="6" t="s">
        <v>1438</v>
      </c>
      <c r="B889" s="7">
        <v>46204</v>
      </c>
      <c r="C889" s="6" t="s">
        <v>428</v>
      </c>
      <c r="D889" s="6" t="s">
        <v>429</v>
      </c>
      <c r="E889" s="6" t="s">
        <v>67</v>
      </c>
      <c r="F889" s="6" t="s">
        <v>67</v>
      </c>
      <c r="G889" s="6" t="s">
        <v>78</v>
      </c>
      <c r="H889" s="6" t="s">
        <v>115</v>
      </c>
      <c r="I889" s="6">
        <v>7</v>
      </c>
      <c r="J889" s="8">
        <v>88800</v>
      </c>
      <c r="K889" s="9">
        <v>0.05</v>
      </c>
      <c r="L889" s="10">
        <v>590520</v>
      </c>
      <c r="M889" s="6">
        <v>406000</v>
      </c>
      <c r="N889" s="6">
        <v>184520</v>
      </c>
      <c r="O889" s="6" t="s">
        <v>104</v>
      </c>
      <c r="P889" s="6" t="s">
        <v>74</v>
      </c>
      <c r="Q889" s="6" t="s">
        <v>26</v>
      </c>
    </row>
    <row r="890" spans="1:17" x14ac:dyDescent="0.3">
      <c r="A890" s="6" t="s">
        <v>1439</v>
      </c>
      <c r="B890" s="7">
        <v>46204</v>
      </c>
      <c r="C890" s="6" t="s">
        <v>308</v>
      </c>
      <c r="D890" s="6" t="s">
        <v>309</v>
      </c>
      <c r="E890" s="6" t="s">
        <v>36</v>
      </c>
      <c r="F890" s="6" t="s">
        <v>155</v>
      </c>
      <c r="G890" s="6" t="s">
        <v>22</v>
      </c>
      <c r="H890" s="6" t="s">
        <v>58</v>
      </c>
      <c r="I890" s="6">
        <v>1</v>
      </c>
      <c r="J890" s="8">
        <v>88000</v>
      </c>
      <c r="K890" s="9">
        <v>0.08</v>
      </c>
      <c r="L890" s="10">
        <v>-80960</v>
      </c>
      <c r="M890" s="6">
        <v>-55000</v>
      </c>
      <c r="N890" s="6">
        <v>-25960</v>
      </c>
      <c r="O890" s="6" t="s">
        <v>40</v>
      </c>
      <c r="P890" s="6" t="s">
        <v>63</v>
      </c>
      <c r="Q890" s="6" t="s">
        <v>105</v>
      </c>
    </row>
    <row r="891" spans="1:17" x14ac:dyDescent="0.3">
      <c r="A891" s="6" t="s">
        <v>1440</v>
      </c>
      <c r="B891" s="7">
        <v>46205</v>
      </c>
      <c r="C891" s="6" t="s">
        <v>588</v>
      </c>
      <c r="D891" s="6" t="s">
        <v>589</v>
      </c>
      <c r="E891" s="6" t="s">
        <v>30</v>
      </c>
      <c r="F891" s="6" t="s">
        <v>222</v>
      </c>
      <c r="G891" s="6" t="s">
        <v>78</v>
      </c>
      <c r="H891" s="6" t="s">
        <v>318</v>
      </c>
      <c r="I891" s="6">
        <v>5</v>
      </c>
      <c r="J891" s="8">
        <v>73100</v>
      </c>
      <c r="K891" s="9">
        <v>0.02</v>
      </c>
      <c r="L891" s="10">
        <v>358190</v>
      </c>
      <c r="M891" s="6">
        <v>215000</v>
      </c>
      <c r="N891" s="6">
        <v>143190</v>
      </c>
      <c r="O891" s="6" t="s">
        <v>24</v>
      </c>
      <c r="P891" s="6" t="s">
        <v>119</v>
      </c>
      <c r="Q891" s="6" t="s">
        <v>26</v>
      </c>
    </row>
    <row r="892" spans="1:17" x14ac:dyDescent="0.3">
      <c r="A892" s="6" t="s">
        <v>1441</v>
      </c>
      <c r="B892" s="7">
        <v>46206</v>
      </c>
      <c r="C892" s="6" t="s">
        <v>1442</v>
      </c>
      <c r="D892" s="6" t="s">
        <v>1443</v>
      </c>
      <c r="E892" s="6" t="s">
        <v>20</v>
      </c>
      <c r="F892" s="6" t="s">
        <v>20</v>
      </c>
      <c r="G892" s="6" t="s">
        <v>44</v>
      </c>
      <c r="H892" s="6" t="s">
        <v>45</v>
      </c>
      <c r="I892" s="6">
        <v>7</v>
      </c>
      <c r="J892" s="8">
        <v>551300</v>
      </c>
      <c r="K892" s="9">
        <v>0</v>
      </c>
      <c r="L892" s="10">
        <v>3859100</v>
      </c>
      <c r="M892" s="6">
        <v>2555000</v>
      </c>
      <c r="N892" s="6">
        <v>1304100</v>
      </c>
      <c r="O892" s="6" t="s">
        <v>68</v>
      </c>
      <c r="P892" s="6" t="s">
        <v>63</v>
      </c>
      <c r="Q892" s="6" t="s">
        <v>26</v>
      </c>
    </row>
    <row r="893" spans="1:17" x14ac:dyDescent="0.3">
      <c r="A893" s="6" t="s">
        <v>1444</v>
      </c>
      <c r="B893" s="7">
        <v>46206</v>
      </c>
      <c r="C893" s="6" t="s">
        <v>393</v>
      </c>
      <c r="D893" s="6" t="s">
        <v>394</v>
      </c>
      <c r="E893" s="6" t="s">
        <v>67</v>
      </c>
      <c r="F893" s="6" t="s">
        <v>236</v>
      </c>
      <c r="G893" s="6" t="s">
        <v>44</v>
      </c>
      <c r="H893" s="6" t="s">
        <v>89</v>
      </c>
      <c r="I893" s="6">
        <v>3</v>
      </c>
      <c r="J893" s="8">
        <v>182800</v>
      </c>
      <c r="K893" s="9">
        <v>0</v>
      </c>
      <c r="L893" s="10">
        <v>548400</v>
      </c>
      <c r="M893" s="6">
        <v>345000</v>
      </c>
      <c r="N893" s="6">
        <v>203400</v>
      </c>
      <c r="O893" s="6" t="s">
        <v>31</v>
      </c>
      <c r="P893" s="6" t="s">
        <v>63</v>
      </c>
      <c r="Q893" s="6" t="s">
        <v>26</v>
      </c>
    </row>
    <row r="894" spans="1:17" x14ac:dyDescent="0.3">
      <c r="A894" s="6" t="s">
        <v>1445</v>
      </c>
      <c r="B894" s="7">
        <v>46206</v>
      </c>
      <c r="C894" s="6" t="s">
        <v>1077</v>
      </c>
      <c r="D894" s="6" t="s">
        <v>1078</v>
      </c>
      <c r="E894" s="6" t="s">
        <v>30</v>
      </c>
      <c r="F894" s="6" t="s">
        <v>159</v>
      </c>
      <c r="G894" s="6" t="s">
        <v>38</v>
      </c>
      <c r="H894" s="6" t="s">
        <v>53</v>
      </c>
      <c r="I894" s="6">
        <v>2</v>
      </c>
      <c r="J894" s="8">
        <v>364700</v>
      </c>
      <c r="K894" s="9">
        <v>0.08</v>
      </c>
      <c r="L894" s="10">
        <v>671048</v>
      </c>
      <c r="M894" s="6">
        <v>560000</v>
      </c>
      <c r="N894" s="6">
        <v>111048</v>
      </c>
      <c r="O894" s="6" t="s">
        <v>24</v>
      </c>
      <c r="P894" s="6" t="s">
        <v>54</v>
      </c>
      <c r="Q894" s="6" t="s">
        <v>26</v>
      </c>
    </row>
    <row r="895" spans="1:17" x14ac:dyDescent="0.3">
      <c r="A895" s="6" t="s">
        <v>1446</v>
      </c>
      <c r="B895" s="7">
        <v>46206</v>
      </c>
      <c r="C895" s="6" t="s">
        <v>56</v>
      </c>
      <c r="D895" s="6" t="s">
        <v>57</v>
      </c>
      <c r="E895" s="6" t="s">
        <v>87</v>
      </c>
      <c r="F895" s="6" t="s">
        <v>131</v>
      </c>
      <c r="G895" s="6" t="s">
        <v>38</v>
      </c>
      <c r="H895" s="6" t="s">
        <v>127</v>
      </c>
      <c r="I895" s="6">
        <v>2</v>
      </c>
      <c r="J895" s="8">
        <v>236300</v>
      </c>
      <c r="K895" s="9">
        <v>0.02</v>
      </c>
      <c r="L895" s="10">
        <v>463148</v>
      </c>
      <c r="M895" s="6">
        <v>330000</v>
      </c>
      <c r="N895" s="6">
        <v>133148</v>
      </c>
      <c r="O895" s="6" t="s">
        <v>40</v>
      </c>
      <c r="P895" s="6" t="s">
        <v>54</v>
      </c>
      <c r="Q895" s="6" t="s">
        <v>26</v>
      </c>
    </row>
    <row r="896" spans="1:17" x14ac:dyDescent="0.3">
      <c r="A896" s="6" t="s">
        <v>1447</v>
      </c>
      <c r="B896" s="7">
        <v>46207</v>
      </c>
      <c r="C896" s="6" t="s">
        <v>654</v>
      </c>
      <c r="D896" s="6" t="s">
        <v>655</v>
      </c>
      <c r="E896" s="6" t="s">
        <v>20</v>
      </c>
      <c r="F896" s="6" t="s">
        <v>123</v>
      </c>
      <c r="G896" s="6" t="s">
        <v>44</v>
      </c>
      <c r="H896" s="6" t="s">
        <v>73</v>
      </c>
      <c r="I896" s="6">
        <v>4</v>
      </c>
      <c r="J896" s="8">
        <v>290400</v>
      </c>
      <c r="K896" s="9">
        <v>0</v>
      </c>
      <c r="L896" s="10">
        <v>1161600</v>
      </c>
      <c r="M896" s="6">
        <v>840000</v>
      </c>
      <c r="N896" s="6">
        <v>321600</v>
      </c>
      <c r="O896" s="6" t="s">
        <v>104</v>
      </c>
      <c r="P896" s="6" t="s">
        <v>63</v>
      </c>
      <c r="Q896" s="6" t="s">
        <v>26</v>
      </c>
    </row>
    <row r="897" spans="1:17" x14ac:dyDescent="0.3">
      <c r="A897" s="6" t="s">
        <v>1448</v>
      </c>
      <c r="B897" s="7">
        <v>46207</v>
      </c>
      <c r="C897" s="6" t="s">
        <v>630</v>
      </c>
      <c r="D897" s="6" t="s">
        <v>631</v>
      </c>
      <c r="E897" s="6" t="s">
        <v>30</v>
      </c>
      <c r="F897" s="6" t="s">
        <v>30</v>
      </c>
      <c r="G897" s="6" t="s">
        <v>22</v>
      </c>
      <c r="H897" s="6" t="s">
        <v>23</v>
      </c>
      <c r="I897" s="6">
        <v>1</v>
      </c>
      <c r="J897" s="8">
        <v>388700</v>
      </c>
      <c r="K897" s="9">
        <v>0.05</v>
      </c>
      <c r="L897" s="10">
        <v>369265</v>
      </c>
      <c r="M897" s="6">
        <v>300000</v>
      </c>
      <c r="N897" s="6">
        <v>69265</v>
      </c>
      <c r="O897" s="6" t="s">
        <v>104</v>
      </c>
      <c r="P897" s="6" t="s">
        <v>90</v>
      </c>
      <c r="Q897" s="6" t="s">
        <v>26</v>
      </c>
    </row>
    <row r="898" spans="1:17" x14ac:dyDescent="0.3">
      <c r="A898" s="6" t="s">
        <v>1449</v>
      </c>
      <c r="B898" s="7">
        <v>46207</v>
      </c>
      <c r="C898" s="6" t="s">
        <v>778</v>
      </c>
      <c r="D898" s="6" t="s">
        <v>779</v>
      </c>
      <c r="E898" s="6" t="s">
        <v>36</v>
      </c>
      <c r="F898" s="6" t="s">
        <v>37</v>
      </c>
      <c r="G898" s="6" t="s">
        <v>22</v>
      </c>
      <c r="H898" s="6" t="s">
        <v>49</v>
      </c>
      <c r="I898" s="6">
        <v>6</v>
      </c>
      <c r="J898" s="8">
        <v>1299200</v>
      </c>
      <c r="K898" s="9">
        <v>0.05</v>
      </c>
      <c r="L898" s="10">
        <v>-7405440</v>
      </c>
      <c r="M898" s="6">
        <v>-5700000</v>
      </c>
      <c r="N898" s="6">
        <v>-1705440</v>
      </c>
      <c r="O898" s="6" t="s">
        <v>104</v>
      </c>
      <c r="P898" s="6" t="s">
        <v>25</v>
      </c>
      <c r="Q898" s="6" t="s">
        <v>105</v>
      </c>
    </row>
    <row r="899" spans="1:17" x14ac:dyDescent="0.3">
      <c r="A899" s="6" t="s">
        <v>1450</v>
      </c>
      <c r="B899" s="7">
        <v>46207</v>
      </c>
      <c r="C899" s="6" t="s">
        <v>296</v>
      </c>
      <c r="D899" s="6" t="s">
        <v>297</v>
      </c>
      <c r="E899" s="6" t="s">
        <v>20</v>
      </c>
      <c r="F899" s="6" t="s">
        <v>62</v>
      </c>
      <c r="G899" s="6" t="s">
        <v>78</v>
      </c>
      <c r="H899" s="6" t="s">
        <v>79</v>
      </c>
      <c r="I899" s="6">
        <v>7</v>
      </c>
      <c r="J899" s="8">
        <v>33500</v>
      </c>
      <c r="K899" s="9">
        <v>0.08</v>
      </c>
      <c r="L899" s="10">
        <v>215740</v>
      </c>
      <c r="M899" s="6">
        <v>126000</v>
      </c>
      <c r="N899" s="6">
        <v>89740</v>
      </c>
      <c r="O899" s="6" t="s">
        <v>104</v>
      </c>
      <c r="P899" s="6" t="s">
        <v>74</v>
      </c>
      <c r="Q899" s="6" t="s">
        <v>26</v>
      </c>
    </row>
    <row r="900" spans="1:17" x14ac:dyDescent="0.3">
      <c r="A900" s="6" t="s">
        <v>1451</v>
      </c>
      <c r="B900" s="7">
        <v>46208</v>
      </c>
      <c r="C900" s="6" t="s">
        <v>1246</v>
      </c>
      <c r="D900" s="6" t="s">
        <v>1247</v>
      </c>
      <c r="E900" s="6" t="s">
        <v>36</v>
      </c>
      <c r="F900" s="6" t="s">
        <v>36</v>
      </c>
      <c r="G900" s="6" t="s">
        <v>22</v>
      </c>
      <c r="H900" s="6" t="s">
        <v>49</v>
      </c>
      <c r="I900" s="6">
        <v>5</v>
      </c>
      <c r="J900" s="8">
        <v>1161500</v>
      </c>
      <c r="K900" s="9">
        <v>0.1</v>
      </c>
      <c r="L900" s="10">
        <v>5226750</v>
      </c>
      <c r="M900" s="6">
        <v>4750000</v>
      </c>
      <c r="N900" s="6">
        <v>476750</v>
      </c>
      <c r="O900" s="6" t="s">
        <v>24</v>
      </c>
      <c r="P900" s="6" t="s">
        <v>32</v>
      </c>
      <c r="Q900" s="6" t="s">
        <v>26</v>
      </c>
    </row>
    <row r="901" spans="1:17" x14ac:dyDescent="0.3">
      <c r="A901" s="6" t="s">
        <v>1452</v>
      </c>
      <c r="B901" s="7">
        <v>46208</v>
      </c>
      <c r="C901" s="6" t="s">
        <v>1176</v>
      </c>
      <c r="D901" s="6" t="s">
        <v>1177</v>
      </c>
      <c r="E901" s="6" t="s">
        <v>87</v>
      </c>
      <c r="F901" s="6" t="s">
        <v>135</v>
      </c>
      <c r="G901" s="6" t="s">
        <v>38</v>
      </c>
      <c r="H901" s="6" t="s">
        <v>214</v>
      </c>
      <c r="I901" s="6">
        <v>3</v>
      </c>
      <c r="J901" s="8">
        <v>46000</v>
      </c>
      <c r="K901" s="9">
        <v>0.08</v>
      </c>
      <c r="L901" s="10">
        <v>126960</v>
      </c>
      <c r="M901" s="6">
        <v>78000</v>
      </c>
      <c r="N901" s="6">
        <v>48960</v>
      </c>
      <c r="O901" s="6" t="s">
        <v>104</v>
      </c>
      <c r="P901" s="6" t="s">
        <v>32</v>
      </c>
      <c r="Q901" s="6" t="s">
        <v>26</v>
      </c>
    </row>
    <row r="902" spans="1:17" x14ac:dyDescent="0.3">
      <c r="A902" s="6" t="s">
        <v>1453</v>
      </c>
      <c r="B902" s="7">
        <v>46208</v>
      </c>
      <c r="C902" s="6" t="s">
        <v>512</v>
      </c>
      <c r="D902" s="6" t="s">
        <v>513</v>
      </c>
      <c r="E902" s="6" t="s">
        <v>87</v>
      </c>
      <c r="F902" s="6" t="s">
        <v>88</v>
      </c>
      <c r="G902" s="6" t="s">
        <v>22</v>
      </c>
      <c r="H902" s="6" t="s">
        <v>23</v>
      </c>
      <c r="I902" s="6">
        <v>4</v>
      </c>
      <c r="J902" s="8">
        <v>395100</v>
      </c>
      <c r="K902" s="9">
        <v>0.08</v>
      </c>
      <c r="L902" s="10">
        <v>1453968</v>
      </c>
      <c r="M902" s="6">
        <v>1200000</v>
      </c>
      <c r="N902" s="6">
        <v>253968</v>
      </c>
      <c r="O902" s="6" t="s">
        <v>31</v>
      </c>
      <c r="P902" s="6" t="s">
        <v>163</v>
      </c>
      <c r="Q902" s="6" t="s">
        <v>26</v>
      </c>
    </row>
    <row r="903" spans="1:17" x14ac:dyDescent="0.3">
      <c r="A903" s="6" t="s">
        <v>1454</v>
      </c>
      <c r="B903" s="7">
        <v>46209</v>
      </c>
      <c r="C903" s="6" t="s">
        <v>658</v>
      </c>
      <c r="D903" s="6" t="s">
        <v>659</v>
      </c>
      <c r="E903" s="6" t="s">
        <v>67</v>
      </c>
      <c r="F903" s="6" t="s">
        <v>100</v>
      </c>
      <c r="G903" s="6" t="s">
        <v>22</v>
      </c>
      <c r="H903" s="6" t="s">
        <v>49</v>
      </c>
      <c r="I903" s="6">
        <v>4</v>
      </c>
      <c r="J903" s="8">
        <v>1281100</v>
      </c>
      <c r="K903" s="9">
        <v>0.1</v>
      </c>
      <c r="L903" s="10">
        <v>4611960</v>
      </c>
      <c r="M903" s="6">
        <v>3800000</v>
      </c>
      <c r="N903" s="6">
        <v>811960</v>
      </c>
      <c r="O903" s="6" t="s">
        <v>31</v>
      </c>
      <c r="P903" s="6" t="s">
        <v>74</v>
      </c>
      <c r="Q903" s="6" t="s">
        <v>26</v>
      </c>
    </row>
    <row r="904" spans="1:17" x14ac:dyDescent="0.3">
      <c r="A904" s="6" t="s">
        <v>1455</v>
      </c>
      <c r="B904" s="7">
        <v>46210</v>
      </c>
      <c r="C904" s="6" t="s">
        <v>390</v>
      </c>
      <c r="D904" s="6" t="s">
        <v>391</v>
      </c>
      <c r="E904" s="6" t="s">
        <v>20</v>
      </c>
      <c r="F904" s="6" t="s">
        <v>21</v>
      </c>
      <c r="G904" s="6" t="s">
        <v>44</v>
      </c>
      <c r="H904" s="6" t="s">
        <v>89</v>
      </c>
      <c r="I904" s="6">
        <v>6</v>
      </c>
      <c r="J904" s="8">
        <v>171800</v>
      </c>
      <c r="K904" s="9">
        <v>0</v>
      </c>
      <c r="L904" s="10">
        <v>1030800</v>
      </c>
      <c r="M904" s="6">
        <v>690000</v>
      </c>
      <c r="N904" s="6">
        <v>340800</v>
      </c>
      <c r="O904" s="6" t="s">
        <v>40</v>
      </c>
      <c r="P904" s="6" t="s">
        <v>32</v>
      </c>
      <c r="Q904" s="6" t="s">
        <v>26</v>
      </c>
    </row>
    <row r="905" spans="1:17" x14ac:dyDescent="0.3">
      <c r="A905" s="6" t="s">
        <v>1456</v>
      </c>
      <c r="B905" s="7">
        <v>46211</v>
      </c>
      <c r="C905" s="6" t="s">
        <v>312</v>
      </c>
      <c r="D905" s="6" t="s">
        <v>313</v>
      </c>
      <c r="E905" s="6" t="s">
        <v>20</v>
      </c>
      <c r="F905" s="6" t="s">
        <v>123</v>
      </c>
      <c r="G905" s="6" t="s">
        <v>22</v>
      </c>
      <c r="H905" s="6" t="s">
        <v>23</v>
      </c>
      <c r="I905" s="6">
        <v>2</v>
      </c>
      <c r="J905" s="8">
        <v>391800</v>
      </c>
      <c r="K905" s="9">
        <v>0.05</v>
      </c>
      <c r="L905" s="10">
        <v>744420</v>
      </c>
      <c r="M905" s="6">
        <v>600000</v>
      </c>
      <c r="N905" s="6">
        <v>144420</v>
      </c>
      <c r="O905" s="6" t="s">
        <v>104</v>
      </c>
      <c r="P905" s="6" t="s">
        <v>54</v>
      </c>
      <c r="Q905" s="6" t="s">
        <v>26</v>
      </c>
    </row>
    <row r="906" spans="1:17" x14ac:dyDescent="0.3">
      <c r="A906" s="6" t="s">
        <v>1457</v>
      </c>
      <c r="B906" s="7">
        <v>46211</v>
      </c>
      <c r="C906" s="6" t="s">
        <v>675</v>
      </c>
      <c r="D906" s="6" t="s">
        <v>676</v>
      </c>
      <c r="E906" s="6" t="s">
        <v>67</v>
      </c>
      <c r="F906" s="6" t="s">
        <v>67</v>
      </c>
      <c r="G906" s="6" t="s">
        <v>22</v>
      </c>
      <c r="H906" s="6" t="s">
        <v>49</v>
      </c>
      <c r="I906" s="6">
        <v>5</v>
      </c>
      <c r="J906" s="8">
        <v>1218500</v>
      </c>
      <c r="K906" s="9">
        <v>0.02</v>
      </c>
      <c r="L906" s="10">
        <v>0</v>
      </c>
      <c r="M906" s="6">
        <v>0</v>
      </c>
      <c r="N906" s="6">
        <v>0</v>
      </c>
      <c r="O906" s="6" t="s">
        <v>24</v>
      </c>
      <c r="P906" s="6" t="s">
        <v>90</v>
      </c>
      <c r="Q906" s="6" t="s">
        <v>69</v>
      </c>
    </row>
    <row r="907" spans="1:17" x14ac:dyDescent="0.3">
      <c r="A907" s="6" t="s">
        <v>1458</v>
      </c>
      <c r="B907" s="7">
        <v>46212</v>
      </c>
      <c r="C907" s="6" t="s">
        <v>1077</v>
      </c>
      <c r="D907" s="6" t="s">
        <v>1078</v>
      </c>
      <c r="E907" s="6" t="s">
        <v>67</v>
      </c>
      <c r="F907" s="6" t="s">
        <v>100</v>
      </c>
      <c r="G907" s="6" t="s">
        <v>22</v>
      </c>
      <c r="H907" s="6" t="s">
        <v>23</v>
      </c>
      <c r="I907" s="6">
        <v>2</v>
      </c>
      <c r="J907" s="8">
        <v>445000</v>
      </c>
      <c r="K907" s="9">
        <v>0.08</v>
      </c>
      <c r="L907" s="10">
        <v>818800</v>
      </c>
      <c r="M907" s="6">
        <v>600000</v>
      </c>
      <c r="N907" s="6">
        <v>218800</v>
      </c>
      <c r="O907" s="6" t="s">
        <v>104</v>
      </c>
      <c r="P907" s="6" t="s">
        <v>32</v>
      </c>
      <c r="Q907" s="6" t="s">
        <v>26</v>
      </c>
    </row>
    <row r="908" spans="1:17" x14ac:dyDescent="0.3">
      <c r="A908" s="6" t="s">
        <v>1459</v>
      </c>
      <c r="B908" s="7">
        <v>46212</v>
      </c>
      <c r="C908" s="6" t="s">
        <v>985</v>
      </c>
      <c r="D908" s="6" t="s">
        <v>986</v>
      </c>
      <c r="E908" s="6" t="s">
        <v>67</v>
      </c>
      <c r="F908" s="6" t="s">
        <v>67</v>
      </c>
      <c r="G908" s="6" t="s">
        <v>22</v>
      </c>
      <c r="H908" s="6" t="s">
        <v>58</v>
      </c>
      <c r="I908" s="6">
        <v>5</v>
      </c>
      <c r="J908" s="8">
        <v>88700</v>
      </c>
      <c r="K908" s="9">
        <v>0</v>
      </c>
      <c r="L908" s="10">
        <v>443500</v>
      </c>
      <c r="M908" s="6">
        <v>275000</v>
      </c>
      <c r="N908" s="6">
        <v>168500</v>
      </c>
      <c r="O908" s="6" t="s">
        <v>31</v>
      </c>
      <c r="P908" s="6" t="s">
        <v>54</v>
      </c>
      <c r="Q908" s="6" t="s">
        <v>26</v>
      </c>
    </row>
    <row r="909" spans="1:17" x14ac:dyDescent="0.3">
      <c r="A909" s="6" t="s">
        <v>1460</v>
      </c>
      <c r="B909" s="7">
        <v>46213</v>
      </c>
      <c r="C909" s="6" t="s">
        <v>92</v>
      </c>
      <c r="D909" s="6" t="s">
        <v>93</v>
      </c>
      <c r="E909" s="6" t="s">
        <v>20</v>
      </c>
      <c r="F909" s="6" t="s">
        <v>123</v>
      </c>
      <c r="G909" s="6" t="s">
        <v>44</v>
      </c>
      <c r="H909" s="6" t="s">
        <v>45</v>
      </c>
      <c r="I909" s="6">
        <v>4</v>
      </c>
      <c r="J909" s="8">
        <v>536100</v>
      </c>
      <c r="K909" s="9">
        <v>0.05</v>
      </c>
      <c r="L909" s="10">
        <v>2037180</v>
      </c>
      <c r="M909" s="6">
        <v>1460000</v>
      </c>
      <c r="N909" s="6">
        <v>577180</v>
      </c>
      <c r="O909" s="6" t="s">
        <v>104</v>
      </c>
      <c r="P909" s="6" t="s">
        <v>25</v>
      </c>
      <c r="Q909" s="6" t="s">
        <v>26</v>
      </c>
    </row>
    <row r="910" spans="1:17" x14ac:dyDescent="0.3">
      <c r="A910" s="6" t="s">
        <v>1461</v>
      </c>
      <c r="B910" s="7">
        <v>46214</v>
      </c>
      <c r="C910" s="6" t="s">
        <v>359</v>
      </c>
      <c r="D910" s="6" t="s">
        <v>360</v>
      </c>
      <c r="E910" s="6" t="s">
        <v>20</v>
      </c>
      <c r="F910" s="6" t="s">
        <v>20</v>
      </c>
      <c r="G910" s="6" t="s">
        <v>38</v>
      </c>
      <c r="H910" s="6" t="s">
        <v>214</v>
      </c>
      <c r="I910" s="6">
        <v>4</v>
      </c>
      <c r="J910" s="8">
        <v>42300</v>
      </c>
      <c r="K910" s="9">
        <v>0</v>
      </c>
      <c r="L910" s="10">
        <v>169200</v>
      </c>
      <c r="M910" s="6">
        <v>104000</v>
      </c>
      <c r="N910" s="6">
        <v>65200</v>
      </c>
      <c r="O910" s="6" t="s">
        <v>31</v>
      </c>
      <c r="P910" s="6" t="s">
        <v>90</v>
      </c>
      <c r="Q910" s="6" t="s">
        <v>26</v>
      </c>
    </row>
    <row r="911" spans="1:17" x14ac:dyDescent="0.3">
      <c r="A911" s="6" t="s">
        <v>1462</v>
      </c>
      <c r="B911" s="7">
        <v>46215</v>
      </c>
      <c r="C911" s="6" t="s">
        <v>512</v>
      </c>
      <c r="D911" s="6" t="s">
        <v>513</v>
      </c>
      <c r="E911" s="6" t="s">
        <v>36</v>
      </c>
      <c r="F911" s="6" t="s">
        <v>37</v>
      </c>
      <c r="G911" s="6" t="s">
        <v>22</v>
      </c>
      <c r="H911" s="6" t="s">
        <v>49</v>
      </c>
      <c r="I911" s="6">
        <v>6</v>
      </c>
      <c r="J911" s="8">
        <v>1287100</v>
      </c>
      <c r="K911" s="9">
        <v>0.05</v>
      </c>
      <c r="L911" s="10">
        <v>7336470</v>
      </c>
      <c r="M911" s="6">
        <v>5700000</v>
      </c>
      <c r="N911" s="6">
        <v>1636470</v>
      </c>
      <c r="O911" s="6" t="s">
        <v>40</v>
      </c>
      <c r="P911" s="6" t="s">
        <v>74</v>
      </c>
      <c r="Q911" s="6" t="s">
        <v>26</v>
      </c>
    </row>
    <row r="912" spans="1:17" x14ac:dyDescent="0.3">
      <c r="A912" s="6" t="s">
        <v>1463</v>
      </c>
      <c r="B912" s="7">
        <v>46215</v>
      </c>
      <c r="C912" s="6" t="s">
        <v>561</v>
      </c>
      <c r="D912" s="6" t="s">
        <v>562</v>
      </c>
      <c r="E912" s="6" t="s">
        <v>20</v>
      </c>
      <c r="F912" s="6" t="s">
        <v>21</v>
      </c>
      <c r="G912" s="6" t="s">
        <v>22</v>
      </c>
      <c r="H912" s="6" t="s">
        <v>23</v>
      </c>
      <c r="I912" s="6">
        <v>2</v>
      </c>
      <c r="J912" s="8">
        <v>452300</v>
      </c>
      <c r="K912" s="9">
        <v>0.05</v>
      </c>
      <c r="L912" s="10">
        <v>-859370</v>
      </c>
      <c r="M912" s="6">
        <v>-600000</v>
      </c>
      <c r="N912" s="6">
        <v>-259370</v>
      </c>
      <c r="O912" s="6" t="s">
        <v>68</v>
      </c>
      <c r="P912" s="6" t="s">
        <v>63</v>
      </c>
      <c r="Q912" s="6" t="s">
        <v>105</v>
      </c>
    </row>
    <row r="913" spans="1:17" x14ac:dyDescent="0.3">
      <c r="A913" s="6" t="s">
        <v>1464</v>
      </c>
      <c r="B913" s="7">
        <v>46215</v>
      </c>
      <c r="C913" s="6" t="s">
        <v>616</v>
      </c>
      <c r="D913" s="6" t="s">
        <v>617</v>
      </c>
      <c r="E913" s="6" t="s">
        <v>36</v>
      </c>
      <c r="F913" s="6" t="s">
        <v>37</v>
      </c>
      <c r="G913" s="6" t="s">
        <v>78</v>
      </c>
      <c r="H913" s="6" t="s">
        <v>188</v>
      </c>
      <c r="I913" s="6">
        <v>3</v>
      </c>
      <c r="J913" s="8">
        <v>82800</v>
      </c>
      <c r="K913" s="9">
        <v>0.05</v>
      </c>
      <c r="L913" s="10">
        <v>235980</v>
      </c>
      <c r="M913" s="6">
        <v>156000</v>
      </c>
      <c r="N913" s="6">
        <v>79980</v>
      </c>
      <c r="O913" s="6" t="s">
        <v>24</v>
      </c>
      <c r="P913" s="6" t="s">
        <v>25</v>
      </c>
      <c r="Q913" s="6" t="s">
        <v>26</v>
      </c>
    </row>
    <row r="914" spans="1:17" x14ac:dyDescent="0.3">
      <c r="A914" s="6" t="s">
        <v>1465</v>
      </c>
      <c r="B914" s="7">
        <v>46215</v>
      </c>
      <c r="C914" s="6" t="s">
        <v>244</v>
      </c>
      <c r="D914" s="6" t="s">
        <v>245</v>
      </c>
      <c r="E914" s="6" t="s">
        <v>87</v>
      </c>
      <c r="F914" s="6" t="s">
        <v>88</v>
      </c>
      <c r="G914" s="6" t="s">
        <v>44</v>
      </c>
      <c r="H914" s="6" t="s">
        <v>45</v>
      </c>
      <c r="I914" s="6">
        <v>1</v>
      </c>
      <c r="J914" s="8">
        <v>519400</v>
      </c>
      <c r="K914" s="9">
        <v>0</v>
      </c>
      <c r="L914" s="10">
        <v>519400</v>
      </c>
      <c r="M914" s="6">
        <v>365000</v>
      </c>
      <c r="N914" s="6">
        <v>154400</v>
      </c>
      <c r="O914" s="6" t="s">
        <v>31</v>
      </c>
      <c r="P914" s="6" t="s">
        <v>63</v>
      </c>
      <c r="Q914" s="6" t="s">
        <v>26</v>
      </c>
    </row>
    <row r="915" spans="1:17" x14ac:dyDescent="0.3">
      <c r="A915" s="6" t="s">
        <v>1466</v>
      </c>
      <c r="B915" s="7">
        <v>46215</v>
      </c>
      <c r="C915" s="6" t="s">
        <v>212</v>
      </c>
      <c r="D915" s="6" t="s">
        <v>213</v>
      </c>
      <c r="E915" s="6" t="s">
        <v>87</v>
      </c>
      <c r="F915" s="6" t="s">
        <v>135</v>
      </c>
      <c r="G915" s="6" t="s">
        <v>78</v>
      </c>
      <c r="H915" s="6" t="s">
        <v>115</v>
      </c>
      <c r="I915" s="6">
        <v>7</v>
      </c>
      <c r="J915" s="8">
        <v>96600</v>
      </c>
      <c r="K915" s="9">
        <v>0</v>
      </c>
      <c r="L915" s="10">
        <v>676200</v>
      </c>
      <c r="M915" s="6">
        <v>406000</v>
      </c>
      <c r="N915" s="6">
        <v>270200</v>
      </c>
      <c r="O915" s="6" t="s">
        <v>40</v>
      </c>
      <c r="P915" s="6" t="s">
        <v>163</v>
      </c>
      <c r="Q915" s="6" t="s">
        <v>26</v>
      </c>
    </row>
    <row r="916" spans="1:17" x14ac:dyDescent="0.3">
      <c r="A916" s="6" t="s">
        <v>1467</v>
      </c>
      <c r="B916" s="7">
        <v>46215</v>
      </c>
      <c r="C916" s="6" t="s">
        <v>381</v>
      </c>
      <c r="D916" s="6" t="s">
        <v>382</v>
      </c>
      <c r="E916" s="6" t="s">
        <v>20</v>
      </c>
      <c r="F916" s="6" t="s">
        <v>20</v>
      </c>
      <c r="G916" s="6" t="s">
        <v>38</v>
      </c>
      <c r="H916" s="6" t="s">
        <v>214</v>
      </c>
      <c r="I916" s="6">
        <v>7</v>
      </c>
      <c r="J916" s="8">
        <v>47700</v>
      </c>
      <c r="K916" s="9">
        <v>0.05</v>
      </c>
      <c r="L916" s="10">
        <v>317205</v>
      </c>
      <c r="M916" s="6">
        <v>182000</v>
      </c>
      <c r="N916" s="6">
        <v>135205</v>
      </c>
      <c r="O916" s="6" t="s">
        <v>104</v>
      </c>
      <c r="P916" s="6" t="s">
        <v>74</v>
      </c>
      <c r="Q916" s="6" t="s">
        <v>26</v>
      </c>
    </row>
    <row r="917" spans="1:17" x14ac:dyDescent="0.3">
      <c r="A917" s="6" t="s">
        <v>1468</v>
      </c>
      <c r="B917" s="7">
        <v>46215</v>
      </c>
      <c r="C917" s="6" t="s">
        <v>907</v>
      </c>
      <c r="D917" s="6" t="s">
        <v>908</v>
      </c>
      <c r="E917" s="6" t="s">
        <v>20</v>
      </c>
      <c r="F917" s="6" t="s">
        <v>21</v>
      </c>
      <c r="G917" s="6" t="s">
        <v>78</v>
      </c>
      <c r="H917" s="6" t="s">
        <v>115</v>
      </c>
      <c r="I917" s="6">
        <v>5</v>
      </c>
      <c r="J917" s="8">
        <v>91600</v>
      </c>
      <c r="K917" s="9">
        <v>0.05</v>
      </c>
      <c r="L917" s="10">
        <v>-435100</v>
      </c>
      <c r="M917" s="6">
        <v>-290000</v>
      </c>
      <c r="N917" s="6">
        <v>-145100</v>
      </c>
      <c r="O917" s="6" t="s">
        <v>68</v>
      </c>
      <c r="P917" s="6" t="s">
        <v>119</v>
      </c>
      <c r="Q917" s="6" t="s">
        <v>105</v>
      </c>
    </row>
    <row r="918" spans="1:17" x14ac:dyDescent="0.3">
      <c r="A918" s="6" t="s">
        <v>1469</v>
      </c>
      <c r="B918" s="7">
        <v>46216</v>
      </c>
      <c r="C918" s="6" t="s">
        <v>512</v>
      </c>
      <c r="D918" s="6" t="s">
        <v>513</v>
      </c>
      <c r="E918" s="6" t="s">
        <v>36</v>
      </c>
      <c r="F918" s="6" t="s">
        <v>36</v>
      </c>
      <c r="G918" s="6" t="s">
        <v>22</v>
      </c>
      <c r="H918" s="6" t="s">
        <v>83</v>
      </c>
      <c r="I918" s="6">
        <v>1</v>
      </c>
      <c r="J918" s="8">
        <v>609300</v>
      </c>
      <c r="K918" s="9">
        <v>0.15</v>
      </c>
      <c r="L918" s="10">
        <v>517905</v>
      </c>
      <c r="M918" s="6">
        <v>470000</v>
      </c>
      <c r="N918" s="6">
        <v>47905</v>
      </c>
      <c r="O918" s="6" t="s">
        <v>40</v>
      </c>
      <c r="P918" s="6" t="s">
        <v>163</v>
      </c>
      <c r="Q918" s="6" t="s">
        <v>26</v>
      </c>
    </row>
    <row r="919" spans="1:17" x14ac:dyDescent="0.3">
      <c r="A919" s="6" t="s">
        <v>1470</v>
      </c>
      <c r="B919" s="7">
        <v>46216</v>
      </c>
      <c r="C919" s="6" t="s">
        <v>554</v>
      </c>
      <c r="D919" s="6" t="s">
        <v>555</v>
      </c>
      <c r="E919" s="6" t="s">
        <v>30</v>
      </c>
      <c r="F919" s="6" t="s">
        <v>159</v>
      </c>
      <c r="G919" s="6" t="s">
        <v>22</v>
      </c>
      <c r="H919" s="6" t="s">
        <v>49</v>
      </c>
      <c r="I919" s="6">
        <v>6</v>
      </c>
      <c r="J919" s="8">
        <v>1342500</v>
      </c>
      <c r="K919" s="9">
        <v>0.1</v>
      </c>
      <c r="L919" s="10">
        <v>7249500</v>
      </c>
      <c r="M919" s="6">
        <v>5700000</v>
      </c>
      <c r="N919" s="6">
        <v>1549500</v>
      </c>
      <c r="O919" s="6" t="s">
        <v>40</v>
      </c>
      <c r="P919" s="6" t="s">
        <v>32</v>
      </c>
      <c r="Q919" s="6" t="s">
        <v>26</v>
      </c>
    </row>
    <row r="920" spans="1:17" x14ac:dyDescent="0.3">
      <c r="A920" s="6" t="s">
        <v>1471</v>
      </c>
      <c r="B920" s="7">
        <v>46217</v>
      </c>
      <c r="C920" s="6" t="s">
        <v>1197</v>
      </c>
      <c r="D920" s="6" t="s">
        <v>1198</v>
      </c>
      <c r="E920" s="6" t="s">
        <v>36</v>
      </c>
      <c r="F920" s="6" t="s">
        <v>36</v>
      </c>
      <c r="G920" s="6" t="s">
        <v>22</v>
      </c>
      <c r="H920" s="6" t="s">
        <v>58</v>
      </c>
      <c r="I920" s="6">
        <v>6</v>
      </c>
      <c r="J920" s="8">
        <v>101600</v>
      </c>
      <c r="K920" s="9">
        <v>0.05</v>
      </c>
      <c r="L920" s="10">
        <v>579120</v>
      </c>
      <c r="M920" s="6">
        <v>330000</v>
      </c>
      <c r="N920" s="6">
        <v>249120</v>
      </c>
      <c r="O920" s="6" t="s">
        <v>24</v>
      </c>
      <c r="P920" s="6" t="s">
        <v>25</v>
      </c>
      <c r="Q920" s="6" t="s">
        <v>26</v>
      </c>
    </row>
    <row r="921" spans="1:17" x14ac:dyDescent="0.3">
      <c r="A921" s="6" t="s">
        <v>1472</v>
      </c>
      <c r="B921" s="7">
        <v>46217</v>
      </c>
      <c r="C921" s="6" t="s">
        <v>684</v>
      </c>
      <c r="D921" s="6" t="s">
        <v>685</v>
      </c>
      <c r="E921" s="6" t="s">
        <v>20</v>
      </c>
      <c r="F921" s="6" t="s">
        <v>62</v>
      </c>
      <c r="G921" s="6" t="s">
        <v>38</v>
      </c>
      <c r="H921" s="6" t="s">
        <v>214</v>
      </c>
      <c r="I921" s="6">
        <v>6</v>
      </c>
      <c r="J921" s="8">
        <v>46300</v>
      </c>
      <c r="K921" s="9">
        <v>0.05</v>
      </c>
      <c r="L921" s="10">
        <v>263910</v>
      </c>
      <c r="M921" s="6">
        <v>156000</v>
      </c>
      <c r="N921" s="6">
        <v>107910</v>
      </c>
      <c r="O921" s="6" t="s">
        <v>24</v>
      </c>
      <c r="P921" s="6" t="s">
        <v>90</v>
      </c>
      <c r="Q921" s="6" t="s">
        <v>26</v>
      </c>
    </row>
    <row r="922" spans="1:17" x14ac:dyDescent="0.3">
      <c r="A922" s="6" t="s">
        <v>1473</v>
      </c>
      <c r="B922" s="7">
        <v>46218</v>
      </c>
      <c r="C922" s="6" t="s">
        <v>707</v>
      </c>
      <c r="D922" s="6" t="s">
        <v>708</v>
      </c>
      <c r="E922" s="6" t="s">
        <v>67</v>
      </c>
      <c r="F922" s="6" t="s">
        <v>67</v>
      </c>
      <c r="G922" s="6" t="s">
        <v>22</v>
      </c>
      <c r="H922" s="6" t="s">
        <v>58</v>
      </c>
      <c r="I922" s="6">
        <v>5</v>
      </c>
      <c r="J922" s="8">
        <v>91500</v>
      </c>
      <c r="K922" s="9">
        <v>0.05</v>
      </c>
      <c r="L922" s="10">
        <v>434625</v>
      </c>
      <c r="M922" s="6">
        <v>275000</v>
      </c>
      <c r="N922" s="6">
        <v>159625</v>
      </c>
      <c r="O922" s="6" t="s">
        <v>24</v>
      </c>
      <c r="P922" s="6" t="s">
        <v>25</v>
      </c>
      <c r="Q922" s="6" t="s">
        <v>26</v>
      </c>
    </row>
    <row r="923" spans="1:17" x14ac:dyDescent="0.3">
      <c r="A923" s="6" t="s">
        <v>1474</v>
      </c>
      <c r="B923" s="7">
        <v>46218</v>
      </c>
      <c r="C923" s="6" t="s">
        <v>557</v>
      </c>
      <c r="D923" s="6" t="s">
        <v>558</v>
      </c>
      <c r="E923" s="6" t="s">
        <v>20</v>
      </c>
      <c r="F923" s="6" t="s">
        <v>62</v>
      </c>
      <c r="G923" s="6" t="s">
        <v>44</v>
      </c>
      <c r="H923" s="6" t="s">
        <v>73</v>
      </c>
      <c r="I923" s="6">
        <v>1</v>
      </c>
      <c r="J923" s="8">
        <v>311500</v>
      </c>
      <c r="K923" s="9">
        <v>0</v>
      </c>
      <c r="L923" s="10">
        <v>0</v>
      </c>
      <c r="M923" s="6">
        <v>0</v>
      </c>
      <c r="N923" s="6">
        <v>0</v>
      </c>
      <c r="O923" s="6" t="s">
        <v>31</v>
      </c>
      <c r="P923" s="6" t="s">
        <v>54</v>
      </c>
      <c r="Q923" s="6" t="s">
        <v>69</v>
      </c>
    </row>
    <row r="924" spans="1:17" x14ac:dyDescent="0.3">
      <c r="A924" s="6" t="s">
        <v>1475</v>
      </c>
      <c r="B924" s="7">
        <v>46218</v>
      </c>
      <c r="C924" s="6" t="s">
        <v>814</v>
      </c>
      <c r="D924" s="6" t="s">
        <v>815</v>
      </c>
      <c r="E924" s="6" t="s">
        <v>36</v>
      </c>
      <c r="F924" s="6" t="s">
        <v>155</v>
      </c>
      <c r="G924" s="6" t="s">
        <v>22</v>
      </c>
      <c r="H924" s="6" t="s">
        <v>58</v>
      </c>
      <c r="I924" s="6">
        <v>4</v>
      </c>
      <c r="J924" s="8">
        <v>93000</v>
      </c>
      <c r="K924" s="9">
        <v>0.05</v>
      </c>
      <c r="L924" s="10">
        <v>353400</v>
      </c>
      <c r="M924" s="6">
        <v>220000</v>
      </c>
      <c r="N924" s="6">
        <v>133400</v>
      </c>
      <c r="O924" s="6" t="s">
        <v>104</v>
      </c>
      <c r="P924" s="6" t="s">
        <v>74</v>
      </c>
      <c r="Q924" s="6" t="s">
        <v>26</v>
      </c>
    </row>
    <row r="925" spans="1:17" x14ac:dyDescent="0.3">
      <c r="A925" s="6" t="s">
        <v>1476</v>
      </c>
      <c r="B925" s="7">
        <v>46220</v>
      </c>
      <c r="C925" s="6" t="s">
        <v>183</v>
      </c>
      <c r="D925" s="6" t="s">
        <v>184</v>
      </c>
      <c r="E925" s="6" t="s">
        <v>20</v>
      </c>
      <c r="F925" s="6" t="s">
        <v>20</v>
      </c>
      <c r="G925" s="6" t="s">
        <v>38</v>
      </c>
      <c r="H925" s="6" t="s">
        <v>214</v>
      </c>
      <c r="I925" s="6">
        <v>7</v>
      </c>
      <c r="J925" s="8">
        <v>46500</v>
      </c>
      <c r="K925" s="9">
        <v>0.05</v>
      </c>
      <c r="L925" s="10">
        <v>-309225</v>
      </c>
      <c r="M925" s="6">
        <v>-182000</v>
      </c>
      <c r="N925" s="6">
        <v>-127225</v>
      </c>
      <c r="O925" s="6" t="s">
        <v>68</v>
      </c>
      <c r="P925" s="6" t="s">
        <v>119</v>
      </c>
      <c r="Q925" s="6" t="s">
        <v>105</v>
      </c>
    </row>
    <row r="926" spans="1:17" x14ac:dyDescent="0.3">
      <c r="A926" s="6" t="s">
        <v>1477</v>
      </c>
      <c r="B926" s="7">
        <v>46220</v>
      </c>
      <c r="C926" s="6" t="s">
        <v>991</v>
      </c>
      <c r="D926" s="6" t="s">
        <v>992</v>
      </c>
      <c r="E926" s="6" t="s">
        <v>87</v>
      </c>
      <c r="F926" s="6" t="s">
        <v>88</v>
      </c>
      <c r="G926" s="6" t="s">
        <v>44</v>
      </c>
      <c r="H926" s="6" t="s">
        <v>73</v>
      </c>
      <c r="I926" s="6">
        <v>5</v>
      </c>
      <c r="J926" s="8">
        <v>323200</v>
      </c>
      <c r="K926" s="9">
        <v>0.08</v>
      </c>
      <c r="L926" s="10">
        <v>1486720</v>
      </c>
      <c r="M926" s="6">
        <v>1050000</v>
      </c>
      <c r="N926" s="6">
        <v>436720</v>
      </c>
      <c r="O926" s="6" t="s">
        <v>24</v>
      </c>
      <c r="P926" s="6" t="s">
        <v>32</v>
      </c>
      <c r="Q926" s="6" t="s">
        <v>26</v>
      </c>
    </row>
    <row r="927" spans="1:17" x14ac:dyDescent="0.3">
      <c r="A927" s="6" t="s">
        <v>1478</v>
      </c>
      <c r="B927" s="7">
        <v>46220</v>
      </c>
      <c r="C927" s="6" t="s">
        <v>630</v>
      </c>
      <c r="D927" s="6" t="s">
        <v>631</v>
      </c>
      <c r="E927" s="6" t="s">
        <v>87</v>
      </c>
      <c r="F927" s="6" t="s">
        <v>88</v>
      </c>
      <c r="G927" s="6" t="s">
        <v>78</v>
      </c>
      <c r="H927" s="6" t="s">
        <v>188</v>
      </c>
      <c r="I927" s="6">
        <v>3</v>
      </c>
      <c r="J927" s="8">
        <v>83300</v>
      </c>
      <c r="K927" s="9">
        <v>0.05</v>
      </c>
      <c r="L927" s="10">
        <v>237405</v>
      </c>
      <c r="M927" s="6">
        <v>156000</v>
      </c>
      <c r="N927" s="6">
        <v>81405</v>
      </c>
      <c r="O927" s="6" t="s">
        <v>31</v>
      </c>
      <c r="P927" s="6" t="s">
        <v>32</v>
      </c>
      <c r="Q927" s="6" t="s">
        <v>26</v>
      </c>
    </row>
    <row r="928" spans="1:17" x14ac:dyDescent="0.3">
      <c r="A928" s="6" t="s">
        <v>1479</v>
      </c>
      <c r="B928" s="7">
        <v>46221</v>
      </c>
      <c r="C928" s="6" t="s">
        <v>728</v>
      </c>
      <c r="D928" s="6" t="s">
        <v>729</v>
      </c>
      <c r="E928" s="6" t="s">
        <v>36</v>
      </c>
      <c r="F928" s="6" t="s">
        <v>155</v>
      </c>
      <c r="G928" s="6" t="s">
        <v>78</v>
      </c>
      <c r="H928" s="6" t="s">
        <v>79</v>
      </c>
      <c r="I928" s="6">
        <v>4</v>
      </c>
      <c r="J928" s="8">
        <v>30900</v>
      </c>
      <c r="K928" s="9">
        <v>0.08</v>
      </c>
      <c r="L928" s="10">
        <v>113712</v>
      </c>
      <c r="M928" s="6">
        <v>72000</v>
      </c>
      <c r="N928" s="6">
        <v>41712</v>
      </c>
      <c r="O928" s="6" t="s">
        <v>31</v>
      </c>
      <c r="P928" s="6" t="s">
        <v>32</v>
      </c>
      <c r="Q928" s="6" t="s">
        <v>26</v>
      </c>
    </row>
    <row r="929" spans="1:17" x14ac:dyDescent="0.3">
      <c r="A929" s="6" t="s">
        <v>1480</v>
      </c>
      <c r="B929" s="7">
        <v>46221</v>
      </c>
      <c r="C929" s="6" t="s">
        <v>250</v>
      </c>
      <c r="D929" s="6" t="s">
        <v>251</v>
      </c>
      <c r="E929" s="6" t="s">
        <v>30</v>
      </c>
      <c r="F929" s="6" t="s">
        <v>222</v>
      </c>
      <c r="G929" s="6" t="s">
        <v>38</v>
      </c>
      <c r="H929" s="6" t="s">
        <v>53</v>
      </c>
      <c r="I929" s="6">
        <v>3</v>
      </c>
      <c r="J929" s="8">
        <v>355400</v>
      </c>
      <c r="K929" s="9">
        <v>0</v>
      </c>
      <c r="L929" s="10">
        <v>1066200</v>
      </c>
      <c r="M929" s="6">
        <v>840000</v>
      </c>
      <c r="N929" s="6">
        <v>226200</v>
      </c>
      <c r="O929" s="6" t="s">
        <v>104</v>
      </c>
      <c r="P929" s="6" t="s">
        <v>119</v>
      </c>
      <c r="Q929" s="6" t="s">
        <v>26</v>
      </c>
    </row>
    <row r="930" spans="1:17" x14ac:dyDescent="0.3">
      <c r="A930" s="6" t="s">
        <v>1481</v>
      </c>
      <c r="B930" s="7">
        <v>46223</v>
      </c>
      <c r="C930" s="6" t="s">
        <v>415</v>
      </c>
      <c r="D930" s="6" t="s">
        <v>416</v>
      </c>
      <c r="E930" s="6" t="s">
        <v>30</v>
      </c>
      <c r="F930" s="6" t="s">
        <v>159</v>
      </c>
      <c r="G930" s="6" t="s">
        <v>22</v>
      </c>
      <c r="H930" s="6" t="s">
        <v>49</v>
      </c>
      <c r="I930" s="6">
        <v>3</v>
      </c>
      <c r="J930" s="8">
        <v>1332600</v>
      </c>
      <c r="K930" s="9">
        <v>0.08</v>
      </c>
      <c r="L930" s="10">
        <v>-3677976</v>
      </c>
      <c r="M930" s="6">
        <v>-2850000</v>
      </c>
      <c r="N930" s="6">
        <v>-827976</v>
      </c>
      <c r="O930" s="6" t="s">
        <v>24</v>
      </c>
      <c r="P930" s="6" t="s">
        <v>25</v>
      </c>
      <c r="Q930" s="6" t="s">
        <v>105</v>
      </c>
    </row>
    <row r="931" spans="1:17" x14ac:dyDescent="0.3">
      <c r="A931" s="6" t="s">
        <v>1482</v>
      </c>
      <c r="B931" s="7">
        <v>46223</v>
      </c>
      <c r="C931" s="6" t="s">
        <v>1176</v>
      </c>
      <c r="D931" s="6" t="s">
        <v>1177</v>
      </c>
      <c r="E931" s="6" t="s">
        <v>36</v>
      </c>
      <c r="F931" s="6" t="s">
        <v>37</v>
      </c>
      <c r="G931" s="6" t="s">
        <v>38</v>
      </c>
      <c r="H931" s="6" t="s">
        <v>127</v>
      </c>
      <c r="I931" s="6">
        <v>2</v>
      </c>
      <c r="J931" s="8">
        <v>233600</v>
      </c>
      <c r="K931" s="9">
        <v>0.08</v>
      </c>
      <c r="L931" s="10">
        <v>429824</v>
      </c>
      <c r="M931" s="6">
        <v>330000</v>
      </c>
      <c r="N931" s="6">
        <v>99824</v>
      </c>
      <c r="O931" s="6" t="s">
        <v>104</v>
      </c>
      <c r="P931" s="6" t="s">
        <v>25</v>
      </c>
      <c r="Q931" s="6" t="s">
        <v>26</v>
      </c>
    </row>
    <row r="932" spans="1:17" x14ac:dyDescent="0.3">
      <c r="A932" s="6" t="s">
        <v>1483</v>
      </c>
      <c r="B932" s="7">
        <v>46223</v>
      </c>
      <c r="C932" s="6" t="s">
        <v>277</v>
      </c>
      <c r="D932" s="6" t="s">
        <v>278</v>
      </c>
      <c r="E932" s="6" t="s">
        <v>87</v>
      </c>
      <c r="F932" s="6" t="s">
        <v>131</v>
      </c>
      <c r="G932" s="6" t="s">
        <v>22</v>
      </c>
      <c r="H932" s="6" t="s">
        <v>83</v>
      </c>
      <c r="I932" s="6">
        <v>7</v>
      </c>
      <c r="J932" s="8">
        <v>625300</v>
      </c>
      <c r="K932" s="9">
        <v>0</v>
      </c>
      <c r="L932" s="10">
        <v>4377100</v>
      </c>
      <c r="M932" s="6">
        <v>3290000</v>
      </c>
      <c r="N932" s="6">
        <v>1087100</v>
      </c>
      <c r="O932" s="6" t="s">
        <v>24</v>
      </c>
      <c r="P932" s="6" t="s">
        <v>90</v>
      </c>
      <c r="Q932" s="6" t="s">
        <v>26</v>
      </c>
    </row>
    <row r="933" spans="1:17" x14ac:dyDescent="0.3">
      <c r="A933" s="6" t="s">
        <v>1484</v>
      </c>
      <c r="B933" s="7">
        <v>46224</v>
      </c>
      <c r="C933" s="6" t="s">
        <v>296</v>
      </c>
      <c r="D933" s="6" t="s">
        <v>297</v>
      </c>
      <c r="E933" s="6" t="s">
        <v>67</v>
      </c>
      <c r="F933" s="6" t="s">
        <v>67</v>
      </c>
      <c r="G933" s="6" t="s">
        <v>44</v>
      </c>
      <c r="H933" s="6" t="s">
        <v>89</v>
      </c>
      <c r="I933" s="6">
        <v>6</v>
      </c>
      <c r="J933" s="8">
        <v>186000</v>
      </c>
      <c r="K933" s="9">
        <v>0.02</v>
      </c>
      <c r="L933" s="10">
        <v>1093680</v>
      </c>
      <c r="M933" s="6">
        <v>690000</v>
      </c>
      <c r="N933" s="6">
        <v>403680</v>
      </c>
      <c r="O933" s="6" t="s">
        <v>68</v>
      </c>
      <c r="P933" s="6" t="s">
        <v>74</v>
      </c>
      <c r="Q933" s="6" t="s">
        <v>26</v>
      </c>
    </row>
    <row r="934" spans="1:17" x14ac:dyDescent="0.3">
      <c r="A934" s="6" t="s">
        <v>1485</v>
      </c>
      <c r="B934" s="7">
        <v>46224</v>
      </c>
      <c r="C934" s="6" t="s">
        <v>262</v>
      </c>
      <c r="D934" s="6" t="s">
        <v>263</v>
      </c>
      <c r="E934" s="6" t="s">
        <v>87</v>
      </c>
      <c r="F934" s="6" t="s">
        <v>131</v>
      </c>
      <c r="G934" s="6" t="s">
        <v>38</v>
      </c>
      <c r="H934" s="6" t="s">
        <v>127</v>
      </c>
      <c r="I934" s="6">
        <v>7</v>
      </c>
      <c r="J934" s="8">
        <v>246900</v>
      </c>
      <c r="K934" s="9">
        <v>0.02</v>
      </c>
      <c r="L934" s="10">
        <v>1693734</v>
      </c>
      <c r="M934" s="6">
        <v>1155000</v>
      </c>
      <c r="N934" s="6">
        <v>538734</v>
      </c>
      <c r="O934" s="6" t="s">
        <v>104</v>
      </c>
      <c r="P934" s="6" t="s">
        <v>74</v>
      </c>
      <c r="Q934" s="6" t="s">
        <v>26</v>
      </c>
    </row>
    <row r="935" spans="1:17" x14ac:dyDescent="0.3">
      <c r="A935" s="6" t="s">
        <v>1486</v>
      </c>
      <c r="B935" s="7">
        <v>46224</v>
      </c>
      <c r="C935" s="6" t="s">
        <v>1487</v>
      </c>
      <c r="D935" s="6" t="s">
        <v>1488</v>
      </c>
      <c r="E935" s="6" t="s">
        <v>36</v>
      </c>
      <c r="F935" s="6" t="s">
        <v>36</v>
      </c>
      <c r="G935" s="6" t="s">
        <v>22</v>
      </c>
      <c r="H935" s="6" t="s">
        <v>23</v>
      </c>
      <c r="I935" s="6">
        <v>5</v>
      </c>
      <c r="J935" s="8">
        <v>430700</v>
      </c>
      <c r="K935" s="9">
        <v>0.05</v>
      </c>
      <c r="L935" s="10">
        <v>2045825</v>
      </c>
      <c r="M935" s="6">
        <v>1500000</v>
      </c>
      <c r="N935" s="6">
        <v>545825</v>
      </c>
      <c r="O935" s="6" t="s">
        <v>68</v>
      </c>
      <c r="P935" s="6" t="s">
        <v>63</v>
      </c>
      <c r="Q935" s="6" t="s">
        <v>26</v>
      </c>
    </row>
    <row r="936" spans="1:17" x14ac:dyDescent="0.3">
      <c r="A936" s="6" t="s">
        <v>1489</v>
      </c>
      <c r="B936" s="7">
        <v>46224</v>
      </c>
      <c r="C936" s="6" t="s">
        <v>396</v>
      </c>
      <c r="D936" s="6" t="s">
        <v>397</v>
      </c>
      <c r="E936" s="6" t="s">
        <v>87</v>
      </c>
      <c r="F936" s="6" t="s">
        <v>135</v>
      </c>
      <c r="G936" s="6" t="s">
        <v>38</v>
      </c>
      <c r="H936" s="6" t="s">
        <v>39</v>
      </c>
      <c r="I936" s="6">
        <v>1</v>
      </c>
      <c r="J936" s="8">
        <v>26700</v>
      </c>
      <c r="K936" s="9">
        <v>0.08</v>
      </c>
      <c r="L936" s="10">
        <v>24564</v>
      </c>
      <c r="M936" s="6">
        <v>15000</v>
      </c>
      <c r="N936" s="6">
        <v>9564</v>
      </c>
      <c r="O936" s="6" t="s">
        <v>40</v>
      </c>
      <c r="P936" s="6" t="s">
        <v>74</v>
      </c>
      <c r="Q936" s="6" t="s">
        <v>26</v>
      </c>
    </row>
    <row r="937" spans="1:17" x14ac:dyDescent="0.3">
      <c r="A937" s="6" t="s">
        <v>1490</v>
      </c>
      <c r="B937" s="7">
        <v>46225</v>
      </c>
      <c r="C937" s="6" t="s">
        <v>533</v>
      </c>
      <c r="D937" s="6" t="s">
        <v>534</v>
      </c>
      <c r="E937" s="6" t="s">
        <v>30</v>
      </c>
      <c r="F937" s="6" t="s">
        <v>159</v>
      </c>
      <c r="G937" s="6" t="s">
        <v>78</v>
      </c>
      <c r="H937" s="6" t="s">
        <v>79</v>
      </c>
      <c r="I937" s="6">
        <v>6</v>
      </c>
      <c r="J937" s="8">
        <v>32100</v>
      </c>
      <c r="K937" s="9">
        <v>0.1</v>
      </c>
      <c r="L937" s="10">
        <v>173340</v>
      </c>
      <c r="M937" s="6">
        <v>108000</v>
      </c>
      <c r="N937" s="6">
        <v>65340</v>
      </c>
      <c r="O937" s="6" t="s">
        <v>104</v>
      </c>
      <c r="P937" s="6" t="s">
        <v>32</v>
      </c>
      <c r="Q937" s="6" t="s">
        <v>26</v>
      </c>
    </row>
    <row r="938" spans="1:17" x14ac:dyDescent="0.3">
      <c r="A938" s="6" t="s">
        <v>1491</v>
      </c>
      <c r="B938" s="7">
        <v>46225</v>
      </c>
      <c r="C938" s="6" t="s">
        <v>810</v>
      </c>
      <c r="D938" s="6" t="s">
        <v>811</v>
      </c>
      <c r="E938" s="6" t="s">
        <v>20</v>
      </c>
      <c r="F938" s="6" t="s">
        <v>21</v>
      </c>
      <c r="G938" s="6" t="s">
        <v>22</v>
      </c>
      <c r="H938" s="6" t="s">
        <v>49</v>
      </c>
      <c r="I938" s="6">
        <v>3</v>
      </c>
      <c r="J938" s="8">
        <v>1254900</v>
      </c>
      <c r="K938" s="9">
        <v>0.08</v>
      </c>
      <c r="L938" s="10">
        <v>3463524</v>
      </c>
      <c r="M938" s="6">
        <v>2850000</v>
      </c>
      <c r="N938" s="6">
        <v>613524</v>
      </c>
      <c r="O938" s="6" t="s">
        <v>104</v>
      </c>
      <c r="P938" s="6" t="s">
        <v>90</v>
      </c>
      <c r="Q938" s="6" t="s">
        <v>26</v>
      </c>
    </row>
    <row r="939" spans="1:17" x14ac:dyDescent="0.3">
      <c r="A939" s="6" t="s">
        <v>1492</v>
      </c>
      <c r="B939" s="7">
        <v>46225</v>
      </c>
      <c r="C939" s="6" t="s">
        <v>985</v>
      </c>
      <c r="D939" s="6" t="s">
        <v>986</v>
      </c>
      <c r="E939" s="6" t="s">
        <v>20</v>
      </c>
      <c r="F939" s="6" t="s">
        <v>62</v>
      </c>
      <c r="G939" s="6" t="s">
        <v>78</v>
      </c>
      <c r="H939" s="6" t="s">
        <v>79</v>
      </c>
      <c r="I939" s="6">
        <v>3</v>
      </c>
      <c r="J939" s="8">
        <v>31100</v>
      </c>
      <c r="K939" s="9">
        <v>0.08</v>
      </c>
      <c r="L939" s="10">
        <v>85836</v>
      </c>
      <c r="M939" s="6">
        <v>54000</v>
      </c>
      <c r="N939" s="6">
        <v>31836</v>
      </c>
      <c r="O939" s="6" t="s">
        <v>31</v>
      </c>
      <c r="P939" s="6" t="s">
        <v>163</v>
      </c>
      <c r="Q939" s="6" t="s">
        <v>26</v>
      </c>
    </row>
    <row r="940" spans="1:17" x14ac:dyDescent="0.3">
      <c r="A940" s="6" t="s">
        <v>1493</v>
      </c>
      <c r="B940" s="7">
        <v>46226</v>
      </c>
      <c r="C940" s="6" t="s">
        <v>1207</v>
      </c>
      <c r="D940" s="6" t="s">
        <v>1208</v>
      </c>
      <c r="E940" s="6" t="s">
        <v>20</v>
      </c>
      <c r="F940" s="6" t="s">
        <v>20</v>
      </c>
      <c r="G940" s="6" t="s">
        <v>22</v>
      </c>
      <c r="H940" s="6" t="s">
        <v>23</v>
      </c>
      <c r="I940" s="6">
        <v>2</v>
      </c>
      <c r="J940" s="8">
        <v>450400</v>
      </c>
      <c r="K940" s="9">
        <v>0.02</v>
      </c>
      <c r="L940" s="10">
        <v>-882784</v>
      </c>
      <c r="M940" s="6">
        <v>-600000</v>
      </c>
      <c r="N940" s="6">
        <v>-282784</v>
      </c>
      <c r="O940" s="6" t="s">
        <v>40</v>
      </c>
      <c r="P940" s="6" t="s">
        <v>54</v>
      </c>
      <c r="Q940" s="6" t="s">
        <v>105</v>
      </c>
    </row>
    <row r="941" spans="1:17" x14ac:dyDescent="0.3">
      <c r="A941" s="6" t="s">
        <v>1494</v>
      </c>
      <c r="B941" s="7">
        <v>46228</v>
      </c>
      <c r="C941" s="6" t="s">
        <v>415</v>
      </c>
      <c r="D941" s="6" t="s">
        <v>416</v>
      </c>
      <c r="E941" s="6" t="s">
        <v>36</v>
      </c>
      <c r="F941" s="6" t="s">
        <v>155</v>
      </c>
      <c r="G941" s="6" t="s">
        <v>44</v>
      </c>
      <c r="H941" s="6" t="s">
        <v>89</v>
      </c>
      <c r="I941" s="6">
        <v>5</v>
      </c>
      <c r="J941" s="8">
        <v>172200</v>
      </c>
      <c r="K941" s="9">
        <v>0.08</v>
      </c>
      <c r="L941" s="10">
        <v>792120</v>
      </c>
      <c r="M941" s="6">
        <v>575000</v>
      </c>
      <c r="N941" s="6">
        <v>217120</v>
      </c>
      <c r="O941" s="6" t="s">
        <v>68</v>
      </c>
      <c r="P941" s="6" t="s">
        <v>54</v>
      </c>
      <c r="Q941" s="6" t="s">
        <v>26</v>
      </c>
    </row>
    <row r="942" spans="1:17" x14ac:dyDescent="0.3">
      <c r="A942" s="6" t="s">
        <v>1495</v>
      </c>
      <c r="B942" s="7">
        <v>46228</v>
      </c>
      <c r="C942" s="6" t="s">
        <v>402</v>
      </c>
      <c r="D942" s="6" t="s">
        <v>403</v>
      </c>
      <c r="E942" s="6" t="s">
        <v>20</v>
      </c>
      <c r="F942" s="6" t="s">
        <v>20</v>
      </c>
      <c r="G942" s="6" t="s">
        <v>78</v>
      </c>
      <c r="H942" s="6" t="s">
        <v>79</v>
      </c>
      <c r="I942" s="6">
        <v>2</v>
      </c>
      <c r="J942" s="8">
        <v>34400</v>
      </c>
      <c r="K942" s="9">
        <v>0.02</v>
      </c>
      <c r="L942" s="10">
        <v>67424</v>
      </c>
      <c r="M942" s="6">
        <v>36000</v>
      </c>
      <c r="N942" s="6">
        <v>31424</v>
      </c>
      <c r="O942" s="6" t="s">
        <v>24</v>
      </c>
      <c r="P942" s="6" t="s">
        <v>63</v>
      </c>
      <c r="Q942" s="6" t="s">
        <v>26</v>
      </c>
    </row>
    <row r="943" spans="1:17" x14ac:dyDescent="0.3">
      <c r="A943" s="6" t="s">
        <v>1496</v>
      </c>
      <c r="B943" s="7">
        <v>46228</v>
      </c>
      <c r="C943" s="6" t="s">
        <v>238</v>
      </c>
      <c r="D943" s="6" t="s">
        <v>239</v>
      </c>
      <c r="E943" s="6" t="s">
        <v>36</v>
      </c>
      <c r="F943" s="6" t="s">
        <v>36</v>
      </c>
      <c r="G943" s="6" t="s">
        <v>22</v>
      </c>
      <c r="H943" s="6" t="s">
        <v>58</v>
      </c>
      <c r="I943" s="6">
        <v>3</v>
      </c>
      <c r="J943" s="8">
        <v>88100</v>
      </c>
      <c r="K943" s="9">
        <v>0.05</v>
      </c>
      <c r="L943" s="10">
        <v>-251085</v>
      </c>
      <c r="M943" s="6">
        <v>-165000</v>
      </c>
      <c r="N943" s="6">
        <v>-86085</v>
      </c>
      <c r="O943" s="6" t="s">
        <v>31</v>
      </c>
      <c r="P943" s="6" t="s">
        <v>32</v>
      </c>
      <c r="Q943" s="6" t="s">
        <v>105</v>
      </c>
    </row>
    <row r="944" spans="1:17" x14ac:dyDescent="0.3">
      <c r="A944" s="6" t="s">
        <v>1497</v>
      </c>
      <c r="B944" s="7">
        <v>46228</v>
      </c>
      <c r="C944" s="6" t="s">
        <v>1324</v>
      </c>
      <c r="D944" s="6" t="s">
        <v>1325</v>
      </c>
      <c r="E944" s="6" t="s">
        <v>36</v>
      </c>
      <c r="F944" s="6" t="s">
        <v>36</v>
      </c>
      <c r="G944" s="6" t="s">
        <v>38</v>
      </c>
      <c r="H944" s="6" t="s">
        <v>53</v>
      </c>
      <c r="I944" s="6">
        <v>3</v>
      </c>
      <c r="J944" s="8">
        <v>380800</v>
      </c>
      <c r="K944" s="9">
        <v>0.02</v>
      </c>
      <c r="L944" s="10">
        <v>1119552</v>
      </c>
      <c r="M944" s="6">
        <v>840000</v>
      </c>
      <c r="N944" s="6">
        <v>279552</v>
      </c>
      <c r="O944" s="6" t="s">
        <v>68</v>
      </c>
      <c r="P944" s="6" t="s">
        <v>90</v>
      </c>
      <c r="Q944" s="6" t="s">
        <v>26</v>
      </c>
    </row>
    <row r="945" spans="1:17" x14ac:dyDescent="0.3">
      <c r="A945" s="6" t="s">
        <v>1498</v>
      </c>
      <c r="B945" s="7">
        <v>46229</v>
      </c>
      <c r="C945" s="6" t="s">
        <v>339</v>
      </c>
      <c r="D945" s="6" t="s">
        <v>340</v>
      </c>
      <c r="E945" s="6" t="s">
        <v>20</v>
      </c>
      <c r="F945" s="6" t="s">
        <v>62</v>
      </c>
      <c r="G945" s="6" t="s">
        <v>44</v>
      </c>
      <c r="H945" s="6" t="s">
        <v>73</v>
      </c>
      <c r="I945" s="6">
        <v>7</v>
      </c>
      <c r="J945" s="8">
        <v>304300</v>
      </c>
      <c r="K945" s="9">
        <v>0.02</v>
      </c>
      <c r="L945" s="10">
        <v>-2087498</v>
      </c>
      <c r="M945" s="6">
        <v>-1470000</v>
      </c>
      <c r="N945" s="6">
        <v>-617498</v>
      </c>
      <c r="O945" s="6" t="s">
        <v>40</v>
      </c>
      <c r="P945" s="6" t="s">
        <v>25</v>
      </c>
      <c r="Q945" s="6" t="s">
        <v>105</v>
      </c>
    </row>
    <row r="946" spans="1:17" x14ac:dyDescent="0.3">
      <c r="A946" s="6" t="s">
        <v>1499</v>
      </c>
      <c r="B946" s="7">
        <v>46230</v>
      </c>
      <c r="C946" s="6" t="s">
        <v>744</v>
      </c>
      <c r="D946" s="6" t="s">
        <v>745</v>
      </c>
      <c r="E946" s="6" t="s">
        <v>36</v>
      </c>
      <c r="F946" s="6" t="s">
        <v>37</v>
      </c>
      <c r="G946" s="6" t="s">
        <v>78</v>
      </c>
      <c r="H946" s="6" t="s">
        <v>318</v>
      </c>
      <c r="I946" s="6">
        <v>4</v>
      </c>
      <c r="J946" s="8">
        <v>74600</v>
      </c>
      <c r="K946" s="9">
        <v>0.05</v>
      </c>
      <c r="L946" s="10">
        <v>283480</v>
      </c>
      <c r="M946" s="6">
        <v>172000</v>
      </c>
      <c r="N946" s="6">
        <v>111480</v>
      </c>
      <c r="O946" s="6" t="s">
        <v>104</v>
      </c>
      <c r="P946" s="6" t="s">
        <v>63</v>
      </c>
      <c r="Q946" s="6" t="s">
        <v>26</v>
      </c>
    </row>
    <row r="947" spans="1:17" x14ac:dyDescent="0.3">
      <c r="A947" s="6" t="s">
        <v>1500</v>
      </c>
      <c r="B947" s="7">
        <v>46230</v>
      </c>
      <c r="C947" s="6" t="s">
        <v>806</v>
      </c>
      <c r="D947" s="6" t="s">
        <v>807</v>
      </c>
      <c r="E947" s="6" t="s">
        <v>20</v>
      </c>
      <c r="F947" s="6" t="s">
        <v>20</v>
      </c>
      <c r="G947" s="6" t="s">
        <v>22</v>
      </c>
      <c r="H947" s="6" t="s">
        <v>83</v>
      </c>
      <c r="I947" s="6">
        <v>3</v>
      </c>
      <c r="J947" s="8">
        <v>690400</v>
      </c>
      <c r="K947" s="9">
        <v>0.05</v>
      </c>
      <c r="L947" s="10">
        <v>1967640</v>
      </c>
      <c r="M947" s="6">
        <v>1410000</v>
      </c>
      <c r="N947" s="6">
        <v>557640</v>
      </c>
      <c r="O947" s="6" t="s">
        <v>68</v>
      </c>
      <c r="P947" s="6" t="s">
        <v>90</v>
      </c>
      <c r="Q947" s="6" t="s">
        <v>26</v>
      </c>
    </row>
    <row r="948" spans="1:17" x14ac:dyDescent="0.3">
      <c r="A948" s="6" t="s">
        <v>1501</v>
      </c>
      <c r="B948" s="7">
        <v>46230</v>
      </c>
      <c r="C948" s="6" t="s">
        <v>603</v>
      </c>
      <c r="D948" s="6" t="s">
        <v>604</v>
      </c>
      <c r="E948" s="6" t="s">
        <v>20</v>
      </c>
      <c r="F948" s="6" t="s">
        <v>62</v>
      </c>
      <c r="G948" s="6" t="s">
        <v>44</v>
      </c>
      <c r="H948" s="6" t="s">
        <v>73</v>
      </c>
      <c r="I948" s="6">
        <v>3</v>
      </c>
      <c r="J948" s="8">
        <v>294400</v>
      </c>
      <c r="K948" s="9">
        <v>0</v>
      </c>
      <c r="L948" s="10">
        <v>883200</v>
      </c>
      <c r="M948" s="6">
        <v>630000</v>
      </c>
      <c r="N948" s="6">
        <v>253200</v>
      </c>
      <c r="O948" s="6" t="s">
        <v>68</v>
      </c>
      <c r="P948" s="6" t="s">
        <v>74</v>
      </c>
      <c r="Q948" s="6" t="s">
        <v>26</v>
      </c>
    </row>
    <row r="949" spans="1:17" x14ac:dyDescent="0.3">
      <c r="A949" s="6" t="s">
        <v>1502</v>
      </c>
      <c r="B949" s="7">
        <v>46231</v>
      </c>
      <c r="C949" s="6" t="s">
        <v>205</v>
      </c>
      <c r="D949" s="6" t="s">
        <v>206</v>
      </c>
      <c r="E949" s="6" t="s">
        <v>87</v>
      </c>
      <c r="F949" s="6" t="s">
        <v>131</v>
      </c>
      <c r="G949" s="6" t="s">
        <v>38</v>
      </c>
      <c r="H949" s="6" t="s">
        <v>53</v>
      </c>
      <c r="I949" s="6">
        <v>5</v>
      </c>
      <c r="J949" s="8">
        <v>390600</v>
      </c>
      <c r="K949" s="9">
        <v>0</v>
      </c>
      <c r="L949" s="10">
        <v>1953000</v>
      </c>
      <c r="M949" s="6">
        <v>1400000</v>
      </c>
      <c r="N949" s="6">
        <v>553000</v>
      </c>
      <c r="O949" s="6" t="s">
        <v>40</v>
      </c>
      <c r="P949" s="6" t="s">
        <v>119</v>
      </c>
      <c r="Q949" s="6" t="s">
        <v>26</v>
      </c>
    </row>
    <row r="950" spans="1:17" x14ac:dyDescent="0.3">
      <c r="A950" s="6" t="s">
        <v>1503</v>
      </c>
      <c r="B950" s="7">
        <v>46231</v>
      </c>
      <c r="C950" s="6" t="s">
        <v>365</v>
      </c>
      <c r="D950" s="6" t="s">
        <v>366</v>
      </c>
      <c r="E950" s="6" t="s">
        <v>30</v>
      </c>
      <c r="F950" s="6" t="s">
        <v>159</v>
      </c>
      <c r="G950" s="6" t="s">
        <v>38</v>
      </c>
      <c r="H950" s="6" t="s">
        <v>127</v>
      </c>
      <c r="I950" s="6">
        <v>6</v>
      </c>
      <c r="J950" s="8">
        <v>252600</v>
      </c>
      <c r="K950" s="9">
        <v>0.08</v>
      </c>
      <c r="L950" s="10">
        <v>1394352</v>
      </c>
      <c r="M950" s="6">
        <v>990000</v>
      </c>
      <c r="N950" s="6">
        <v>404352</v>
      </c>
      <c r="O950" s="6" t="s">
        <v>68</v>
      </c>
      <c r="P950" s="6" t="s">
        <v>163</v>
      </c>
      <c r="Q950" s="6" t="s">
        <v>26</v>
      </c>
    </row>
    <row r="951" spans="1:17" x14ac:dyDescent="0.3">
      <c r="A951" s="6" t="s">
        <v>1504</v>
      </c>
      <c r="B951" s="7">
        <v>46231</v>
      </c>
      <c r="C951" s="6" t="s">
        <v>645</v>
      </c>
      <c r="D951" s="6" t="s">
        <v>646</v>
      </c>
      <c r="E951" s="6" t="s">
        <v>36</v>
      </c>
      <c r="F951" s="6" t="s">
        <v>155</v>
      </c>
      <c r="G951" s="6" t="s">
        <v>38</v>
      </c>
      <c r="H951" s="6" t="s">
        <v>127</v>
      </c>
      <c r="I951" s="6">
        <v>1</v>
      </c>
      <c r="J951" s="8">
        <v>223400</v>
      </c>
      <c r="K951" s="9">
        <v>0.02</v>
      </c>
      <c r="L951" s="10">
        <v>218932</v>
      </c>
      <c r="M951" s="6">
        <v>165000</v>
      </c>
      <c r="N951" s="6">
        <v>53932</v>
      </c>
      <c r="O951" s="6" t="s">
        <v>24</v>
      </c>
      <c r="P951" s="6" t="s">
        <v>119</v>
      </c>
      <c r="Q951" s="6" t="s">
        <v>26</v>
      </c>
    </row>
    <row r="952" spans="1:17" x14ac:dyDescent="0.3">
      <c r="A952" s="6" t="s">
        <v>1505</v>
      </c>
      <c r="B952" s="7">
        <v>46231</v>
      </c>
      <c r="C952" s="6" t="s">
        <v>353</v>
      </c>
      <c r="D952" s="6" t="s">
        <v>354</v>
      </c>
      <c r="E952" s="6" t="s">
        <v>20</v>
      </c>
      <c r="F952" s="6" t="s">
        <v>21</v>
      </c>
      <c r="G952" s="6" t="s">
        <v>38</v>
      </c>
      <c r="H952" s="6" t="s">
        <v>39</v>
      </c>
      <c r="I952" s="6">
        <v>6</v>
      </c>
      <c r="J952" s="8">
        <v>27500</v>
      </c>
      <c r="K952" s="9">
        <v>0.05</v>
      </c>
      <c r="L952" s="10">
        <v>156750</v>
      </c>
      <c r="M952" s="6">
        <v>90000</v>
      </c>
      <c r="N952" s="6">
        <v>66750</v>
      </c>
      <c r="O952" s="6" t="s">
        <v>31</v>
      </c>
      <c r="P952" s="6" t="s">
        <v>25</v>
      </c>
      <c r="Q952" s="6" t="s">
        <v>26</v>
      </c>
    </row>
    <row r="953" spans="1:17" x14ac:dyDescent="0.3">
      <c r="A953" s="6" t="s">
        <v>1506</v>
      </c>
      <c r="B953" s="7">
        <v>46231</v>
      </c>
      <c r="C953" s="6" t="s">
        <v>1176</v>
      </c>
      <c r="D953" s="6" t="s">
        <v>1177</v>
      </c>
      <c r="E953" s="6" t="s">
        <v>87</v>
      </c>
      <c r="F953" s="6" t="s">
        <v>135</v>
      </c>
      <c r="G953" s="6" t="s">
        <v>38</v>
      </c>
      <c r="H953" s="6" t="s">
        <v>214</v>
      </c>
      <c r="I953" s="6">
        <v>3</v>
      </c>
      <c r="J953" s="8">
        <v>47400</v>
      </c>
      <c r="K953" s="9">
        <v>0</v>
      </c>
      <c r="L953" s="10">
        <v>0</v>
      </c>
      <c r="M953" s="6">
        <v>0</v>
      </c>
      <c r="N953" s="6">
        <v>0</v>
      </c>
      <c r="O953" s="6" t="s">
        <v>24</v>
      </c>
      <c r="P953" s="6" t="s">
        <v>54</v>
      </c>
      <c r="Q953" s="6" t="s">
        <v>69</v>
      </c>
    </row>
    <row r="954" spans="1:17" x14ac:dyDescent="0.3">
      <c r="A954" s="6" t="s">
        <v>1507</v>
      </c>
      <c r="B954" s="7">
        <v>46232</v>
      </c>
      <c r="C954" s="6" t="s">
        <v>637</v>
      </c>
      <c r="D954" s="6" t="s">
        <v>638</v>
      </c>
      <c r="E954" s="6" t="s">
        <v>87</v>
      </c>
      <c r="F954" s="6" t="s">
        <v>131</v>
      </c>
      <c r="G954" s="6" t="s">
        <v>22</v>
      </c>
      <c r="H954" s="6" t="s">
        <v>58</v>
      </c>
      <c r="I954" s="6">
        <v>4</v>
      </c>
      <c r="J954" s="8">
        <v>101200</v>
      </c>
      <c r="K954" s="9">
        <v>0.02</v>
      </c>
      <c r="L954" s="10">
        <v>396704</v>
      </c>
      <c r="M954" s="6">
        <v>220000</v>
      </c>
      <c r="N954" s="6">
        <v>176704</v>
      </c>
      <c r="O954" s="6" t="s">
        <v>104</v>
      </c>
      <c r="P954" s="6" t="s">
        <v>54</v>
      </c>
      <c r="Q954" s="6" t="s">
        <v>26</v>
      </c>
    </row>
    <row r="955" spans="1:17" x14ac:dyDescent="0.3">
      <c r="A955" s="6" t="s">
        <v>1508</v>
      </c>
      <c r="B955" s="7">
        <v>46232</v>
      </c>
      <c r="C955" s="6" t="s">
        <v>607</v>
      </c>
      <c r="D955" s="6" t="s">
        <v>608</v>
      </c>
      <c r="E955" s="6" t="s">
        <v>20</v>
      </c>
      <c r="F955" s="6" t="s">
        <v>21</v>
      </c>
      <c r="G955" s="6" t="s">
        <v>22</v>
      </c>
      <c r="H955" s="6" t="s">
        <v>58</v>
      </c>
      <c r="I955" s="6">
        <v>2</v>
      </c>
      <c r="J955" s="8">
        <v>88400</v>
      </c>
      <c r="K955" s="9">
        <v>0.05</v>
      </c>
      <c r="L955" s="10">
        <v>167960</v>
      </c>
      <c r="M955" s="6">
        <v>110000</v>
      </c>
      <c r="N955" s="6">
        <v>57960</v>
      </c>
      <c r="O955" s="6" t="s">
        <v>68</v>
      </c>
      <c r="P955" s="6" t="s">
        <v>163</v>
      </c>
      <c r="Q955" s="6" t="s">
        <v>26</v>
      </c>
    </row>
    <row r="956" spans="1:17" x14ac:dyDescent="0.3">
      <c r="A956" s="6" t="s">
        <v>1509</v>
      </c>
      <c r="B956" s="7">
        <v>46232</v>
      </c>
      <c r="C956" s="6" t="s">
        <v>268</v>
      </c>
      <c r="D956" s="6" t="s">
        <v>269</v>
      </c>
      <c r="E956" s="6" t="s">
        <v>30</v>
      </c>
      <c r="F956" s="6" t="s">
        <v>30</v>
      </c>
      <c r="G956" s="6" t="s">
        <v>38</v>
      </c>
      <c r="H956" s="6" t="s">
        <v>39</v>
      </c>
      <c r="I956" s="6">
        <v>7</v>
      </c>
      <c r="J956" s="8">
        <v>26900</v>
      </c>
      <c r="K956" s="9">
        <v>0.05</v>
      </c>
      <c r="L956" s="10">
        <v>178885</v>
      </c>
      <c r="M956" s="6">
        <v>105000</v>
      </c>
      <c r="N956" s="6">
        <v>73885</v>
      </c>
      <c r="O956" s="6" t="s">
        <v>68</v>
      </c>
      <c r="P956" s="6" t="s">
        <v>163</v>
      </c>
      <c r="Q956" s="6" t="s">
        <v>26</v>
      </c>
    </row>
    <row r="957" spans="1:17" x14ac:dyDescent="0.3">
      <c r="A957" s="6" t="s">
        <v>1510</v>
      </c>
      <c r="B957" s="7">
        <v>46236</v>
      </c>
      <c r="C957" s="6" t="s">
        <v>627</v>
      </c>
      <c r="D957" s="6" t="s">
        <v>628</v>
      </c>
      <c r="E957" s="6" t="s">
        <v>20</v>
      </c>
      <c r="F957" s="6" t="s">
        <v>21</v>
      </c>
      <c r="G957" s="6" t="s">
        <v>22</v>
      </c>
      <c r="H957" s="6" t="s">
        <v>49</v>
      </c>
      <c r="I957" s="6">
        <v>2</v>
      </c>
      <c r="J957" s="8">
        <v>1279500</v>
      </c>
      <c r="K957" s="9">
        <v>0.02</v>
      </c>
      <c r="L957" s="10">
        <v>2507820</v>
      </c>
      <c r="M957" s="6">
        <v>1900000</v>
      </c>
      <c r="N957" s="6">
        <v>607820</v>
      </c>
      <c r="O957" s="6" t="s">
        <v>31</v>
      </c>
      <c r="P957" s="6" t="s">
        <v>25</v>
      </c>
      <c r="Q957" s="6" t="s">
        <v>26</v>
      </c>
    </row>
    <row r="958" spans="1:17" x14ac:dyDescent="0.3">
      <c r="A958" s="6" t="s">
        <v>1511</v>
      </c>
      <c r="B958" s="7">
        <v>46237</v>
      </c>
      <c r="C958" s="6" t="s">
        <v>471</v>
      </c>
      <c r="D958" s="6" t="s">
        <v>472</v>
      </c>
      <c r="E958" s="6" t="s">
        <v>20</v>
      </c>
      <c r="F958" s="6" t="s">
        <v>20</v>
      </c>
      <c r="G958" s="6" t="s">
        <v>22</v>
      </c>
      <c r="H958" s="6" t="s">
        <v>58</v>
      </c>
      <c r="I958" s="6">
        <v>7</v>
      </c>
      <c r="J958" s="8">
        <v>98400</v>
      </c>
      <c r="K958" s="9">
        <v>0.02</v>
      </c>
      <c r="L958" s="10">
        <v>675024</v>
      </c>
      <c r="M958" s="6">
        <v>385000</v>
      </c>
      <c r="N958" s="6">
        <v>290024</v>
      </c>
      <c r="O958" s="6" t="s">
        <v>104</v>
      </c>
      <c r="P958" s="6" t="s">
        <v>63</v>
      </c>
      <c r="Q958" s="6" t="s">
        <v>26</v>
      </c>
    </row>
    <row r="959" spans="1:17" x14ac:dyDescent="0.3">
      <c r="A959" s="6" t="s">
        <v>1512</v>
      </c>
      <c r="B959" s="7">
        <v>46238</v>
      </c>
      <c r="C959" s="6" t="s">
        <v>744</v>
      </c>
      <c r="D959" s="6" t="s">
        <v>745</v>
      </c>
      <c r="E959" s="6" t="s">
        <v>20</v>
      </c>
      <c r="F959" s="6" t="s">
        <v>20</v>
      </c>
      <c r="G959" s="6" t="s">
        <v>44</v>
      </c>
      <c r="H959" s="6" t="s">
        <v>73</v>
      </c>
      <c r="I959" s="6">
        <v>5</v>
      </c>
      <c r="J959" s="8">
        <v>305900</v>
      </c>
      <c r="K959" s="9">
        <v>0.05</v>
      </c>
      <c r="L959" s="10">
        <v>1453025</v>
      </c>
      <c r="M959" s="6">
        <v>1050000</v>
      </c>
      <c r="N959" s="6">
        <v>403025</v>
      </c>
      <c r="O959" s="6" t="s">
        <v>68</v>
      </c>
      <c r="P959" s="6" t="s">
        <v>74</v>
      </c>
      <c r="Q959" s="6" t="s">
        <v>26</v>
      </c>
    </row>
    <row r="960" spans="1:17" x14ac:dyDescent="0.3">
      <c r="A960" s="6" t="s">
        <v>1513</v>
      </c>
      <c r="B960" s="7">
        <v>46240</v>
      </c>
      <c r="C960" s="6" t="s">
        <v>1077</v>
      </c>
      <c r="D960" s="6" t="s">
        <v>1078</v>
      </c>
      <c r="E960" s="6" t="s">
        <v>30</v>
      </c>
      <c r="F960" s="6" t="s">
        <v>30</v>
      </c>
      <c r="G960" s="6" t="s">
        <v>78</v>
      </c>
      <c r="H960" s="6" t="s">
        <v>115</v>
      </c>
      <c r="I960" s="6">
        <v>3</v>
      </c>
      <c r="J960" s="8">
        <v>85500</v>
      </c>
      <c r="K960" s="9">
        <v>0.05</v>
      </c>
      <c r="L960" s="10">
        <v>243675</v>
      </c>
      <c r="M960" s="6">
        <v>174000</v>
      </c>
      <c r="N960" s="6">
        <v>69675</v>
      </c>
      <c r="O960" s="6" t="s">
        <v>24</v>
      </c>
      <c r="P960" s="6" t="s">
        <v>74</v>
      </c>
      <c r="Q960" s="6" t="s">
        <v>26</v>
      </c>
    </row>
    <row r="961" spans="1:17" x14ac:dyDescent="0.3">
      <c r="A961" s="6" t="s">
        <v>1514</v>
      </c>
      <c r="B961" s="7">
        <v>46240</v>
      </c>
      <c r="C961" s="6" t="s">
        <v>183</v>
      </c>
      <c r="D961" s="6" t="s">
        <v>184</v>
      </c>
      <c r="E961" s="6" t="s">
        <v>67</v>
      </c>
      <c r="F961" s="6" t="s">
        <v>236</v>
      </c>
      <c r="G961" s="6" t="s">
        <v>38</v>
      </c>
      <c r="H961" s="6" t="s">
        <v>53</v>
      </c>
      <c r="I961" s="6">
        <v>4</v>
      </c>
      <c r="J961" s="8">
        <v>354900</v>
      </c>
      <c r="K961" s="9">
        <v>0.08</v>
      </c>
      <c r="L961" s="10">
        <v>1306032</v>
      </c>
      <c r="M961" s="6">
        <v>1120000</v>
      </c>
      <c r="N961" s="6">
        <v>186032</v>
      </c>
      <c r="O961" s="6" t="s">
        <v>104</v>
      </c>
      <c r="P961" s="6" t="s">
        <v>119</v>
      </c>
      <c r="Q961" s="6" t="s">
        <v>26</v>
      </c>
    </row>
    <row r="962" spans="1:17" x14ac:dyDescent="0.3">
      <c r="A962" s="6" t="s">
        <v>1515</v>
      </c>
      <c r="B962" s="7">
        <v>46243</v>
      </c>
      <c r="C962" s="6" t="s">
        <v>814</v>
      </c>
      <c r="D962" s="6" t="s">
        <v>815</v>
      </c>
      <c r="E962" s="6" t="s">
        <v>30</v>
      </c>
      <c r="F962" s="6" t="s">
        <v>222</v>
      </c>
      <c r="G962" s="6" t="s">
        <v>38</v>
      </c>
      <c r="H962" s="6" t="s">
        <v>39</v>
      </c>
      <c r="I962" s="6">
        <v>3</v>
      </c>
      <c r="J962" s="8">
        <v>26100</v>
      </c>
      <c r="K962" s="9">
        <v>0.15</v>
      </c>
      <c r="L962" s="10">
        <v>66555</v>
      </c>
      <c r="M962" s="6">
        <v>45000</v>
      </c>
      <c r="N962" s="6">
        <v>21555</v>
      </c>
      <c r="O962" s="6" t="s">
        <v>24</v>
      </c>
      <c r="P962" s="6" t="s">
        <v>163</v>
      </c>
      <c r="Q962" s="6" t="s">
        <v>26</v>
      </c>
    </row>
    <row r="963" spans="1:17" x14ac:dyDescent="0.3">
      <c r="A963" s="6" t="s">
        <v>1516</v>
      </c>
      <c r="B963" s="7">
        <v>46243</v>
      </c>
      <c r="C963" s="6" t="s">
        <v>607</v>
      </c>
      <c r="D963" s="6" t="s">
        <v>608</v>
      </c>
      <c r="E963" s="6" t="s">
        <v>30</v>
      </c>
      <c r="F963" s="6" t="s">
        <v>159</v>
      </c>
      <c r="G963" s="6" t="s">
        <v>44</v>
      </c>
      <c r="H963" s="6" t="s">
        <v>45</v>
      </c>
      <c r="I963" s="6">
        <v>7</v>
      </c>
      <c r="J963" s="8">
        <v>494000</v>
      </c>
      <c r="K963" s="9">
        <v>0</v>
      </c>
      <c r="L963" s="10">
        <v>3458000</v>
      </c>
      <c r="M963" s="6">
        <v>2555000</v>
      </c>
      <c r="N963" s="6">
        <v>903000</v>
      </c>
      <c r="O963" s="6" t="s">
        <v>24</v>
      </c>
      <c r="P963" s="6" t="s">
        <v>54</v>
      </c>
      <c r="Q963" s="6" t="s">
        <v>26</v>
      </c>
    </row>
    <row r="964" spans="1:17" x14ac:dyDescent="0.3">
      <c r="A964" s="6" t="s">
        <v>1517</v>
      </c>
      <c r="B964" s="7">
        <v>46244</v>
      </c>
      <c r="C964" s="6" t="s">
        <v>1518</v>
      </c>
      <c r="D964" s="6" t="s">
        <v>1519</v>
      </c>
      <c r="E964" s="6" t="s">
        <v>30</v>
      </c>
      <c r="F964" s="6" t="s">
        <v>159</v>
      </c>
      <c r="G964" s="6" t="s">
        <v>22</v>
      </c>
      <c r="H964" s="6" t="s">
        <v>58</v>
      </c>
      <c r="I964" s="6">
        <v>3</v>
      </c>
      <c r="J964" s="8">
        <v>102500</v>
      </c>
      <c r="K964" s="9">
        <v>0.02</v>
      </c>
      <c r="L964" s="10">
        <v>301350</v>
      </c>
      <c r="M964" s="6">
        <v>165000</v>
      </c>
      <c r="N964" s="6">
        <v>136350</v>
      </c>
      <c r="O964" s="6" t="s">
        <v>24</v>
      </c>
      <c r="P964" s="6" t="s">
        <v>32</v>
      </c>
      <c r="Q964" s="6" t="s">
        <v>26</v>
      </c>
    </row>
    <row r="965" spans="1:17" x14ac:dyDescent="0.3">
      <c r="A965" s="6" t="s">
        <v>1520</v>
      </c>
      <c r="B965" s="7">
        <v>46244</v>
      </c>
      <c r="C965" s="6" t="s">
        <v>481</v>
      </c>
      <c r="D965" s="6" t="s">
        <v>482</v>
      </c>
      <c r="E965" s="6" t="s">
        <v>20</v>
      </c>
      <c r="F965" s="6" t="s">
        <v>62</v>
      </c>
      <c r="G965" s="6" t="s">
        <v>38</v>
      </c>
      <c r="H965" s="6" t="s">
        <v>39</v>
      </c>
      <c r="I965" s="6">
        <v>3</v>
      </c>
      <c r="J965" s="8">
        <v>29900</v>
      </c>
      <c r="K965" s="9">
        <v>0.02</v>
      </c>
      <c r="L965" s="10">
        <v>87906</v>
      </c>
      <c r="M965" s="6">
        <v>45000</v>
      </c>
      <c r="N965" s="6">
        <v>42906</v>
      </c>
      <c r="O965" s="6" t="s">
        <v>31</v>
      </c>
      <c r="P965" s="6" t="s">
        <v>163</v>
      </c>
      <c r="Q965" s="6" t="s">
        <v>26</v>
      </c>
    </row>
    <row r="966" spans="1:17" x14ac:dyDescent="0.3">
      <c r="A966" s="6" t="s">
        <v>1521</v>
      </c>
      <c r="B966" s="7">
        <v>46245</v>
      </c>
      <c r="C966" s="6" t="s">
        <v>1246</v>
      </c>
      <c r="D966" s="6" t="s">
        <v>1247</v>
      </c>
      <c r="E966" s="6" t="s">
        <v>20</v>
      </c>
      <c r="F966" s="6" t="s">
        <v>21</v>
      </c>
      <c r="G966" s="6" t="s">
        <v>22</v>
      </c>
      <c r="H966" s="6" t="s">
        <v>58</v>
      </c>
      <c r="I966" s="6">
        <v>2</v>
      </c>
      <c r="J966" s="8">
        <v>88900</v>
      </c>
      <c r="K966" s="9">
        <v>0.02</v>
      </c>
      <c r="L966" s="10">
        <v>174244</v>
      </c>
      <c r="M966" s="6">
        <v>110000</v>
      </c>
      <c r="N966" s="6">
        <v>64244</v>
      </c>
      <c r="O966" s="6" t="s">
        <v>40</v>
      </c>
      <c r="P966" s="6" t="s">
        <v>74</v>
      </c>
      <c r="Q966" s="6" t="s">
        <v>26</v>
      </c>
    </row>
    <row r="967" spans="1:17" x14ac:dyDescent="0.3">
      <c r="A967" s="6" t="s">
        <v>1522</v>
      </c>
      <c r="B967" s="7">
        <v>46245</v>
      </c>
      <c r="C967" s="6" t="s">
        <v>102</v>
      </c>
      <c r="D967" s="6" t="s">
        <v>103</v>
      </c>
      <c r="E967" s="6" t="s">
        <v>20</v>
      </c>
      <c r="F967" s="6" t="s">
        <v>20</v>
      </c>
      <c r="G967" s="6" t="s">
        <v>44</v>
      </c>
      <c r="H967" s="6" t="s">
        <v>89</v>
      </c>
      <c r="I967" s="6">
        <v>4</v>
      </c>
      <c r="J967" s="8">
        <v>189800</v>
      </c>
      <c r="K967" s="9">
        <v>0</v>
      </c>
      <c r="L967" s="10">
        <v>759200</v>
      </c>
      <c r="M967" s="6">
        <v>460000</v>
      </c>
      <c r="N967" s="6">
        <v>299200</v>
      </c>
      <c r="O967" s="6" t="s">
        <v>24</v>
      </c>
      <c r="P967" s="6" t="s">
        <v>163</v>
      </c>
      <c r="Q967" s="6" t="s">
        <v>26</v>
      </c>
    </row>
    <row r="968" spans="1:17" x14ac:dyDescent="0.3">
      <c r="A968" s="6" t="s">
        <v>1523</v>
      </c>
      <c r="B968" s="7">
        <v>46245</v>
      </c>
      <c r="C968" s="6" t="s">
        <v>893</v>
      </c>
      <c r="D968" s="6" t="s">
        <v>894</v>
      </c>
      <c r="E968" s="6" t="s">
        <v>67</v>
      </c>
      <c r="F968" s="6" t="s">
        <v>100</v>
      </c>
      <c r="G968" s="6" t="s">
        <v>44</v>
      </c>
      <c r="H968" s="6" t="s">
        <v>73</v>
      </c>
      <c r="I968" s="6">
        <v>7</v>
      </c>
      <c r="J968" s="8">
        <v>326500</v>
      </c>
      <c r="K968" s="9">
        <v>0.15</v>
      </c>
      <c r="L968" s="10">
        <v>1942675</v>
      </c>
      <c r="M968" s="6">
        <v>1470000</v>
      </c>
      <c r="N968" s="6">
        <v>472675</v>
      </c>
      <c r="O968" s="6" t="s">
        <v>24</v>
      </c>
      <c r="P968" s="6" t="s">
        <v>32</v>
      </c>
      <c r="Q968" s="6" t="s">
        <v>26</v>
      </c>
    </row>
    <row r="969" spans="1:17" x14ac:dyDescent="0.3">
      <c r="A969" s="6" t="s">
        <v>1524</v>
      </c>
      <c r="B969" s="7">
        <v>46246</v>
      </c>
      <c r="C969" s="6" t="s">
        <v>336</v>
      </c>
      <c r="D969" s="6" t="s">
        <v>337</v>
      </c>
      <c r="E969" s="6" t="s">
        <v>36</v>
      </c>
      <c r="F969" s="6" t="s">
        <v>155</v>
      </c>
      <c r="G969" s="6" t="s">
        <v>78</v>
      </c>
      <c r="H969" s="6" t="s">
        <v>188</v>
      </c>
      <c r="I969" s="6">
        <v>7</v>
      </c>
      <c r="J969" s="8">
        <v>80100</v>
      </c>
      <c r="K969" s="9">
        <v>0.1</v>
      </c>
      <c r="L969" s="10">
        <v>504630</v>
      </c>
      <c r="M969" s="6">
        <v>364000</v>
      </c>
      <c r="N969" s="6">
        <v>140630</v>
      </c>
      <c r="O969" s="6" t="s">
        <v>24</v>
      </c>
      <c r="P969" s="6" t="s">
        <v>119</v>
      </c>
      <c r="Q969" s="6" t="s">
        <v>26</v>
      </c>
    </row>
    <row r="970" spans="1:17" x14ac:dyDescent="0.3">
      <c r="A970" s="6" t="s">
        <v>1525</v>
      </c>
      <c r="B970" s="7">
        <v>46246</v>
      </c>
      <c r="C970" s="6" t="s">
        <v>168</v>
      </c>
      <c r="D970" s="6" t="s">
        <v>169</v>
      </c>
      <c r="E970" s="6" t="s">
        <v>20</v>
      </c>
      <c r="F970" s="6" t="s">
        <v>21</v>
      </c>
      <c r="G970" s="6" t="s">
        <v>22</v>
      </c>
      <c r="H970" s="6" t="s">
        <v>83</v>
      </c>
      <c r="I970" s="6">
        <v>7</v>
      </c>
      <c r="J970" s="8">
        <v>618900</v>
      </c>
      <c r="K970" s="9">
        <v>0.08</v>
      </c>
      <c r="L970" s="10">
        <v>3985716</v>
      </c>
      <c r="M970" s="6">
        <v>3290000</v>
      </c>
      <c r="N970" s="6">
        <v>695716</v>
      </c>
      <c r="O970" s="6" t="s">
        <v>68</v>
      </c>
      <c r="P970" s="6" t="s">
        <v>54</v>
      </c>
      <c r="Q970" s="6" t="s">
        <v>26</v>
      </c>
    </row>
    <row r="971" spans="1:17" x14ac:dyDescent="0.3">
      <c r="A971" s="6" t="s">
        <v>1526</v>
      </c>
      <c r="B971" s="7">
        <v>46246</v>
      </c>
      <c r="C971" s="6" t="s">
        <v>336</v>
      </c>
      <c r="D971" s="6" t="s">
        <v>337</v>
      </c>
      <c r="E971" s="6" t="s">
        <v>87</v>
      </c>
      <c r="F971" s="6" t="s">
        <v>131</v>
      </c>
      <c r="G971" s="6" t="s">
        <v>22</v>
      </c>
      <c r="H971" s="6" t="s">
        <v>23</v>
      </c>
      <c r="I971" s="6">
        <v>7</v>
      </c>
      <c r="J971" s="8">
        <v>411000</v>
      </c>
      <c r="K971" s="9">
        <v>0.1</v>
      </c>
      <c r="L971" s="10">
        <v>2589300</v>
      </c>
      <c r="M971" s="6">
        <v>2100000</v>
      </c>
      <c r="N971" s="6">
        <v>489300</v>
      </c>
      <c r="O971" s="6" t="s">
        <v>104</v>
      </c>
      <c r="P971" s="6" t="s">
        <v>63</v>
      </c>
      <c r="Q971" s="6" t="s">
        <v>26</v>
      </c>
    </row>
    <row r="972" spans="1:17" x14ac:dyDescent="0.3">
      <c r="A972" s="6" t="s">
        <v>1527</v>
      </c>
      <c r="B972" s="7">
        <v>46246</v>
      </c>
      <c r="C972" s="6" t="s">
        <v>687</v>
      </c>
      <c r="D972" s="6" t="s">
        <v>688</v>
      </c>
      <c r="E972" s="6" t="s">
        <v>20</v>
      </c>
      <c r="F972" s="6" t="s">
        <v>123</v>
      </c>
      <c r="G972" s="6" t="s">
        <v>78</v>
      </c>
      <c r="H972" s="6" t="s">
        <v>79</v>
      </c>
      <c r="I972" s="6">
        <v>6</v>
      </c>
      <c r="J972" s="8">
        <v>31100</v>
      </c>
      <c r="K972" s="9">
        <v>0.08</v>
      </c>
      <c r="L972" s="10">
        <v>171672</v>
      </c>
      <c r="M972" s="6">
        <v>108000</v>
      </c>
      <c r="N972" s="6">
        <v>63672</v>
      </c>
      <c r="O972" s="6" t="s">
        <v>68</v>
      </c>
      <c r="P972" s="6" t="s">
        <v>90</v>
      </c>
      <c r="Q972" s="6" t="s">
        <v>26</v>
      </c>
    </row>
    <row r="973" spans="1:17" x14ac:dyDescent="0.3">
      <c r="A973" s="6" t="s">
        <v>1528</v>
      </c>
      <c r="B973" s="7">
        <v>46248</v>
      </c>
      <c r="C973" s="6" t="s">
        <v>396</v>
      </c>
      <c r="D973" s="6" t="s">
        <v>397</v>
      </c>
      <c r="E973" s="6" t="s">
        <v>20</v>
      </c>
      <c r="F973" s="6" t="s">
        <v>123</v>
      </c>
      <c r="G973" s="6" t="s">
        <v>22</v>
      </c>
      <c r="H973" s="6" t="s">
        <v>49</v>
      </c>
      <c r="I973" s="6">
        <v>5</v>
      </c>
      <c r="J973" s="8">
        <v>1349600</v>
      </c>
      <c r="K973" s="9">
        <v>0.1</v>
      </c>
      <c r="L973" s="10">
        <v>6073200</v>
      </c>
      <c r="M973" s="6">
        <v>4750000</v>
      </c>
      <c r="N973" s="6">
        <v>1323200</v>
      </c>
      <c r="O973" s="6" t="s">
        <v>68</v>
      </c>
      <c r="P973" s="6" t="s">
        <v>90</v>
      </c>
      <c r="Q973" s="6" t="s">
        <v>26</v>
      </c>
    </row>
    <row r="974" spans="1:17" x14ac:dyDescent="0.3">
      <c r="A974" s="6" t="s">
        <v>1529</v>
      </c>
      <c r="B974" s="7">
        <v>46248</v>
      </c>
      <c r="C974" s="6" t="s">
        <v>728</v>
      </c>
      <c r="D974" s="6" t="s">
        <v>729</v>
      </c>
      <c r="E974" s="6" t="s">
        <v>20</v>
      </c>
      <c r="F974" s="6" t="s">
        <v>62</v>
      </c>
      <c r="G974" s="6" t="s">
        <v>78</v>
      </c>
      <c r="H974" s="6" t="s">
        <v>318</v>
      </c>
      <c r="I974" s="6">
        <v>1</v>
      </c>
      <c r="J974" s="8">
        <v>70200</v>
      </c>
      <c r="K974" s="9">
        <v>0.05</v>
      </c>
      <c r="L974" s="10">
        <v>66690</v>
      </c>
      <c r="M974" s="6">
        <v>43000</v>
      </c>
      <c r="N974" s="6">
        <v>23690</v>
      </c>
      <c r="O974" s="6" t="s">
        <v>68</v>
      </c>
      <c r="P974" s="6" t="s">
        <v>119</v>
      </c>
      <c r="Q974" s="6" t="s">
        <v>26</v>
      </c>
    </row>
    <row r="975" spans="1:17" x14ac:dyDescent="0.3">
      <c r="A975" s="6" t="s">
        <v>1530</v>
      </c>
      <c r="B975" s="7">
        <v>46249</v>
      </c>
      <c r="C975" s="6" t="s">
        <v>133</v>
      </c>
      <c r="D975" s="6" t="s">
        <v>134</v>
      </c>
      <c r="E975" s="6" t="s">
        <v>67</v>
      </c>
      <c r="F975" s="6" t="s">
        <v>236</v>
      </c>
      <c r="G975" s="6" t="s">
        <v>38</v>
      </c>
      <c r="H975" s="6" t="s">
        <v>53</v>
      </c>
      <c r="I975" s="6">
        <v>5</v>
      </c>
      <c r="J975" s="8">
        <v>402600</v>
      </c>
      <c r="K975" s="9">
        <v>0.08</v>
      </c>
      <c r="L975" s="10">
        <v>1851960</v>
      </c>
      <c r="M975" s="6">
        <v>1400000</v>
      </c>
      <c r="N975" s="6">
        <v>451960</v>
      </c>
      <c r="O975" s="6" t="s">
        <v>68</v>
      </c>
      <c r="P975" s="6" t="s">
        <v>63</v>
      </c>
      <c r="Q975" s="6" t="s">
        <v>26</v>
      </c>
    </row>
    <row r="976" spans="1:17" x14ac:dyDescent="0.3">
      <c r="A976" s="6" t="s">
        <v>1531</v>
      </c>
      <c r="B976" s="7">
        <v>46249</v>
      </c>
      <c r="C976" s="6" t="s">
        <v>603</v>
      </c>
      <c r="D976" s="6" t="s">
        <v>604</v>
      </c>
      <c r="E976" s="6" t="s">
        <v>20</v>
      </c>
      <c r="F976" s="6" t="s">
        <v>62</v>
      </c>
      <c r="G976" s="6" t="s">
        <v>78</v>
      </c>
      <c r="H976" s="6" t="s">
        <v>115</v>
      </c>
      <c r="I976" s="6">
        <v>5</v>
      </c>
      <c r="J976" s="8">
        <v>84200</v>
      </c>
      <c r="K976" s="9">
        <v>0.05</v>
      </c>
      <c r="L976" s="10">
        <v>399950</v>
      </c>
      <c r="M976" s="6">
        <v>290000</v>
      </c>
      <c r="N976" s="6">
        <v>109950</v>
      </c>
      <c r="O976" s="6" t="s">
        <v>104</v>
      </c>
      <c r="P976" s="6" t="s">
        <v>25</v>
      </c>
      <c r="Q976" s="6" t="s">
        <v>26</v>
      </c>
    </row>
    <row r="977" spans="1:17" x14ac:dyDescent="0.3">
      <c r="A977" s="6" t="s">
        <v>1532</v>
      </c>
      <c r="B977" s="7">
        <v>46251</v>
      </c>
      <c r="C977" s="6" t="s">
        <v>228</v>
      </c>
      <c r="D977" s="6" t="s">
        <v>229</v>
      </c>
      <c r="E977" s="6" t="s">
        <v>20</v>
      </c>
      <c r="F977" s="6" t="s">
        <v>21</v>
      </c>
      <c r="G977" s="6" t="s">
        <v>44</v>
      </c>
      <c r="H977" s="6" t="s">
        <v>45</v>
      </c>
      <c r="I977" s="6">
        <v>5</v>
      </c>
      <c r="J977" s="8">
        <v>511200</v>
      </c>
      <c r="K977" s="9">
        <v>0.1</v>
      </c>
      <c r="L977" s="10">
        <v>2300400</v>
      </c>
      <c r="M977" s="6">
        <v>1825000</v>
      </c>
      <c r="N977" s="6">
        <v>475400</v>
      </c>
      <c r="O977" s="6" t="s">
        <v>24</v>
      </c>
      <c r="P977" s="6" t="s">
        <v>32</v>
      </c>
      <c r="Q977" s="6" t="s">
        <v>26</v>
      </c>
    </row>
    <row r="978" spans="1:17" x14ac:dyDescent="0.3">
      <c r="A978" s="6" t="s">
        <v>1533</v>
      </c>
      <c r="B978" s="7">
        <v>46252</v>
      </c>
      <c r="C978" s="6" t="s">
        <v>950</v>
      </c>
      <c r="D978" s="6" t="s">
        <v>951</v>
      </c>
      <c r="E978" s="6" t="s">
        <v>87</v>
      </c>
      <c r="F978" s="6" t="s">
        <v>88</v>
      </c>
      <c r="G978" s="6" t="s">
        <v>22</v>
      </c>
      <c r="H978" s="6" t="s">
        <v>49</v>
      </c>
      <c r="I978" s="6">
        <v>7</v>
      </c>
      <c r="J978" s="8">
        <v>1236900</v>
      </c>
      <c r="K978" s="9">
        <v>0.02</v>
      </c>
      <c r="L978" s="10">
        <v>8485134</v>
      </c>
      <c r="M978" s="6">
        <v>6650000</v>
      </c>
      <c r="N978" s="6">
        <v>1835134</v>
      </c>
      <c r="O978" s="6" t="s">
        <v>40</v>
      </c>
      <c r="P978" s="6" t="s">
        <v>163</v>
      </c>
      <c r="Q978" s="6" t="s">
        <v>26</v>
      </c>
    </row>
    <row r="979" spans="1:17" x14ac:dyDescent="0.3">
      <c r="A979" s="6" t="s">
        <v>1534</v>
      </c>
      <c r="B979" s="7">
        <v>46252</v>
      </c>
      <c r="C979" s="6" t="s">
        <v>387</v>
      </c>
      <c r="D979" s="6" t="s">
        <v>388</v>
      </c>
      <c r="E979" s="6" t="s">
        <v>30</v>
      </c>
      <c r="F979" s="6" t="s">
        <v>30</v>
      </c>
      <c r="G979" s="6" t="s">
        <v>38</v>
      </c>
      <c r="H979" s="6" t="s">
        <v>214</v>
      </c>
      <c r="I979" s="6">
        <v>5</v>
      </c>
      <c r="J979" s="8">
        <v>43600</v>
      </c>
      <c r="K979" s="9">
        <v>0.02</v>
      </c>
      <c r="L979" s="10">
        <v>213640</v>
      </c>
      <c r="M979" s="6">
        <v>130000</v>
      </c>
      <c r="N979" s="6">
        <v>83640</v>
      </c>
      <c r="O979" s="6" t="s">
        <v>40</v>
      </c>
      <c r="P979" s="6" t="s">
        <v>90</v>
      </c>
      <c r="Q979" s="6" t="s">
        <v>26</v>
      </c>
    </row>
    <row r="980" spans="1:17" x14ac:dyDescent="0.3">
      <c r="A980" s="6" t="s">
        <v>1535</v>
      </c>
      <c r="B980" s="7">
        <v>46253</v>
      </c>
      <c r="C980" s="6" t="s">
        <v>1518</v>
      </c>
      <c r="D980" s="6" t="s">
        <v>1519</v>
      </c>
      <c r="E980" s="6" t="s">
        <v>36</v>
      </c>
      <c r="F980" s="6" t="s">
        <v>37</v>
      </c>
      <c r="G980" s="6" t="s">
        <v>22</v>
      </c>
      <c r="H980" s="6" t="s">
        <v>83</v>
      </c>
      <c r="I980" s="6">
        <v>6</v>
      </c>
      <c r="J980" s="8">
        <v>634400</v>
      </c>
      <c r="K980" s="9">
        <v>0.05</v>
      </c>
      <c r="L980" s="10">
        <v>-3616080</v>
      </c>
      <c r="M980" s="6">
        <v>-2820000</v>
      </c>
      <c r="N980" s="6">
        <v>-796080</v>
      </c>
      <c r="O980" s="6" t="s">
        <v>31</v>
      </c>
      <c r="P980" s="6" t="s">
        <v>74</v>
      </c>
      <c r="Q980" s="6" t="s">
        <v>105</v>
      </c>
    </row>
    <row r="981" spans="1:17" x14ac:dyDescent="0.3">
      <c r="A981" s="6" t="s">
        <v>1536</v>
      </c>
      <c r="B981" s="7">
        <v>46253</v>
      </c>
      <c r="C981" s="6" t="s">
        <v>92</v>
      </c>
      <c r="D981" s="6" t="s">
        <v>93</v>
      </c>
      <c r="E981" s="6" t="s">
        <v>36</v>
      </c>
      <c r="F981" s="6" t="s">
        <v>155</v>
      </c>
      <c r="G981" s="6" t="s">
        <v>22</v>
      </c>
      <c r="H981" s="6" t="s">
        <v>58</v>
      </c>
      <c r="I981" s="6">
        <v>2</v>
      </c>
      <c r="J981" s="8">
        <v>93600</v>
      </c>
      <c r="K981" s="9">
        <v>0.02</v>
      </c>
      <c r="L981" s="10">
        <v>-183456</v>
      </c>
      <c r="M981" s="6">
        <v>-110000</v>
      </c>
      <c r="N981" s="6">
        <v>-73456</v>
      </c>
      <c r="O981" s="6" t="s">
        <v>68</v>
      </c>
      <c r="P981" s="6" t="s">
        <v>32</v>
      </c>
      <c r="Q981" s="6" t="s">
        <v>105</v>
      </c>
    </row>
    <row r="982" spans="1:17" x14ac:dyDescent="0.3">
      <c r="A982" s="6" t="s">
        <v>1537</v>
      </c>
      <c r="B982" s="7">
        <v>46253</v>
      </c>
      <c r="C982" s="6" t="s">
        <v>442</v>
      </c>
      <c r="D982" s="6" t="s">
        <v>443</v>
      </c>
      <c r="E982" s="6" t="s">
        <v>20</v>
      </c>
      <c r="F982" s="6" t="s">
        <v>21</v>
      </c>
      <c r="G982" s="6" t="s">
        <v>22</v>
      </c>
      <c r="H982" s="6" t="s">
        <v>83</v>
      </c>
      <c r="I982" s="6">
        <v>6</v>
      </c>
      <c r="J982" s="8">
        <v>698400</v>
      </c>
      <c r="K982" s="9">
        <v>0.02</v>
      </c>
      <c r="L982" s="10">
        <v>4106592</v>
      </c>
      <c r="M982" s="6">
        <v>2820000</v>
      </c>
      <c r="N982" s="6">
        <v>1286592</v>
      </c>
      <c r="O982" s="6" t="s">
        <v>40</v>
      </c>
      <c r="P982" s="6" t="s">
        <v>32</v>
      </c>
      <c r="Q982" s="6" t="s">
        <v>26</v>
      </c>
    </row>
    <row r="983" spans="1:17" x14ac:dyDescent="0.3">
      <c r="A983" s="6" t="s">
        <v>1538</v>
      </c>
      <c r="B983" s="7">
        <v>46254</v>
      </c>
      <c r="C983" s="6" t="s">
        <v>755</v>
      </c>
      <c r="D983" s="6" t="s">
        <v>756</v>
      </c>
      <c r="E983" s="6" t="s">
        <v>20</v>
      </c>
      <c r="F983" s="6" t="s">
        <v>62</v>
      </c>
      <c r="G983" s="6" t="s">
        <v>38</v>
      </c>
      <c r="H983" s="6" t="s">
        <v>53</v>
      </c>
      <c r="I983" s="6">
        <v>3</v>
      </c>
      <c r="J983" s="8">
        <v>403000</v>
      </c>
      <c r="K983" s="9">
        <v>0.05</v>
      </c>
      <c r="L983" s="10">
        <v>0</v>
      </c>
      <c r="M983" s="6">
        <v>0</v>
      </c>
      <c r="N983" s="6">
        <v>0</v>
      </c>
      <c r="O983" s="6" t="s">
        <v>40</v>
      </c>
      <c r="P983" s="6" t="s">
        <v>74</v>
      </c>
      <c r="Q983" s="6" t="s">
        <v>69</v>
      </c>
    </row>
    <row r="984" spans="1:17" x14ac:dyDescent="0.3">
      <c r="A984" s="6" t="s">
        <v>1539</v>
      </c>
      <c r="B984" s="7">
        <v>46254</v>
      </c>
      <c r="C984" s="6" t="s">
        <v>1080</v>
      </c>
      <c r="D984" s="6" t="s">
        <v>1081</v>
      </c>
      <c r="E984" s="6" t="s">
        <v>30</v>
      </c>
      <c r="F984" s="6" t="s">
        <v>222</v>
      </c>
      <c r="G984" s="6" t="s">
        <v>38</v>
      </c>
      <c r="H984" s="6" t="s">
        <v>53</v>
      </c>
      <c r="I984" s="6">
        <v>3</v>
      </c>
      <c r="J984" s="8">
        <v>376900</v>
      </c>
      <c r="K984" s="9">
        <v>0.02</v>
      </c>
      <c r="L984" s="10">
        <v>1108086</v>
      </c>
      <c r="M984" s="6">
        <v>840000</v>
      </c>
      <c r="N984" s="6">
        <v>268086</v>
      </c>
      <c r="O984" s="6" t="s">
        <v>68</v>
      </c>
      <c r="P984" s="6" t="s">
        <v>74</v>
      </c>
      <c r="Q984" s="6" t="s">
        <v>26</v>
      </c>
    </row>
    <row r="985" spans="1:17" x14ac:dyDescent="0.3">
      <c r="A985" s="6" t="s">
        <v>1540</v>
      </c>
      <c r="B985" s="7">
        <v>46255</v>
      </c>
      <c r="C985" s="6" t="s">
        <v>845</v>
      </c>
      <c r="D985" s="6" t="s">
        <v>846</v>
      </c>
      <c r="E985" s="6" t="s">
        <v>20</v>
      </c>
      <c r="F985" s="6" t="s">
        <v>21</v>
      </c>
      <c r="G985" s="6" t="s">
        <v>78</v>
      </c>
      <c r="H985" s="6" t="s">
        <v>79</v>
      </c>
      <c r="I985" s="6">
        <v>4</v>
      </c>
      <c r="J985" s="8">
        <v>29600</v>
      </c>
      <c r="K985" s="9">
        <v>0.1</v>
      </c>
      <c r="L985" s="10">
        <v>106560</v>
      </c>
      <c r="M985" s="6">
        <v>72000</v>
      </c>
      <c r="N985" s="6">
        <v>34560</v>
      </c>
      <c r="O985" s="6" t="s">
        <v>104</v>
      </c>
      <c r="P985" s="6" t="s">
        <v>32</v>
      </c>
      <c r="Q985" s="6" t="s">
        <v>26</v>
      </c>
    </row>
    <row r="986" spans="1:17" x14ac:dyDescent="0.3">
      <c r="A986" s="6" t="s">
        <v>1541</v>
      </c>
      <c r="B986" s="7">
        <v>46255</v>
      </c>
      <c r="C986" s="6" t="s">
        <v>129</v>
      </c>
      <c r="D986" s="6" t="s">
        <v>130</v>
      </c>
      <c r="E986" s="6" t="s">
        <v>36</v>
      </c>
      <c r="F986" s="6" t="s">
        <v>37</v>
      </c>
      <c r="G986" s="6" t="s">
        <v>38</v>
      </c>
      <c r="H986" s="6" t="s">
        <v>53</v>
      </c>
      <c r="I986" s="6">
        <v>4</v>
      </c>
      <c r="J986" s="8">
        <v>371300</v>
      </c>
      <c r="K986" s="9">
        <v>0.08</v>
      </c>
      <c r="L986" s="10">
        <v>1366384</v>
      </c>
      <c r="M986" s="6">
        <v>1120000</v>
      </c>
      <c r="N986" s="6">
        <v>246384</v>
      </c>
      <c r="O986" s="6" t="s">
        <v>31</v>
      </c>
      <c r="P986" s="6" t="s">
        <v>90</v>
      </c>
      <c r="Q986" s="6" t="s">
        <v>26</v>
      </c>
    </row>
    <row r="987" spans="1:17" x14ac:dyDescent="0.3">
      <c r="A987" s="6" t="s">
        <v>1542</v>
      </c>
      <c r="B987" s="7">
        <v>46257</v>
      </c>
      <c r="C987" s="6" t="s">
        <v>42</v>
      </c>
      <c r="D987" s="6" t="s">
        <v>43</v>
      </c>
      <c r="E987" s="6" t="s">
        <v>36</v>
      </c>
      <c r="F987" s="6" t="s">
        <v>37</v>
      </c>
      <c r="G987" s="6" t="s">
        <v>22</v>
      </c>
      <c r="H987" s="6" t="s">
        <v>49</v>
      </c>
      <c r="I987" s="6">
        <v>3</v>
      </c>
      <c r="J987" s="8">
        <v>1168200</v>
      </c>
      <c r="K987" s="9">
        <v>0.1</v>
      </c>
      <c r="L987" s="10">
        <v>3154140</v>
      </c>
      <c r="M987" s="6">
        <v>2850000</v>
      </c>
      <c r="N987" s="6">
        <v>304140</v>
      </c>
      <c r="O987" s="6" t="s">
        <v>40</v>
      </c>
      <c r="P987" s="6" t="s">
        <v>54</v>
      </c>
      <c r="Q987" s="6" t="s">
        <v>26</v>
      </c>
    </row>
    <row r="988" spans="1:17" x14ac:dyDescent="0.3">
      <c r="A988" s="6" t="s">
        <v>1543</v>
      </c>
      <c r="B988" s="7">
        <v>46258</v>
      </c>
      <c r="C988" s="6" t="s">
        <v>481</v>
      </c>
      <c r="D988" s="6" t="s">
        <v>482</v>
      </c>
      <c r="E988" s="6" t="s">
        <v>67</v>
      </c>
      <c r="F988" s="6" t="s">
        <v>67</v>
      </c>
      <c r="G988" s="6" t="s">
        <v>38</v>
      </c>
      <c r="H988" s="6" t="s">
        <v>127</v>
      </c>
      <c r="I988" s="6">
        <v>5</v>
      </c>
      <c r="J988" s="8">
        <v>222100</v>
      </c>
      <c r="K988" s="9">
        <v>0</v>
      </c>
      <c r="L988" s="10">
        <v>1110500</v>
      </c>
      <c r="M988" s="6">
        <v>825000</v>
      </c>
      <c r="N988" s="6">
        <v>285500</v>
      </c>
      <c r="O988" s="6" t="s">
        <v>68</v>
      </c>
      <c r="P988" s="6" t="s">
        <v>90</v>
      </c>
      <c r="Q988" s="6" t="s">
        <v>26</v>
      </c>
    </row>
    <row r="989" spans="1:17" x14ac:dyDescent="0.3">
      <c r="A989" s="6" t="s">
        <v>1544</v>
      </c>
      <c r="B989" s="7">
        <v>46259</v>
      </c>
      <c r="C989" s="6" t="s">
        <v>868</v>
      </c>
      <c r="D989" s="6" t="s">
        <v>869</v>
      </c>
      <c r="E989" s="6" t="s">
        <v>20</v>
      </c>
      <c r="F989" s="6" t="s">
        <v>21</v>
      </c>
      <c r="G989" s="6" t="s">
        <v>38</v>
      </c>
      <c r="H989" s="6" t="s">
        <v>214</v>
      </c>
      <c r="I989" s="6">
        <v>5</v>
      </c>
      <c r="J989" s="8">
        <v>47500</v>
      </c>
      <c r="K989" s="9">
        <v>0.02</v>
      </c>
      <c r="L989" s="10">
        <v>232750</v>
      </c>
      <c r="M989" s="6">
        <v>130000</v>
      </c>
      <c r="N989" s="6">
        <v>102750</v>
      </c>
      <c r="O989" s="6" t="s">
        <v>31</v>
      </c>
      <c r="P989" s="6" t="s">
        <v>63</v>
      </c>
      <c r="Q989" s="6" t="s">
        <v>26</v>
      </c>
    </row>
    <row r="990" spans="1:17" x14ac:dyDescent="0.3">
      <c r="A990" s="6" t="s">
        <v>1545</v>
      </c>
      <c r="B990" s="7">
        <v>46259</v>
      </c>
      <c r="C990" s="6" t="s">
        <v>874</v>
      </c>
      <c r="D990" s="6" t="s">
        <v>875</v>
      </c>
      <c r="E990" s="6" t="s">
        <v>67</v>
      </c>
      <c r="F990" s="6" t="s">
        <v>100</v>
      </c>
      <c r="G990" s="6" t="s">
        <v>38</v>
      </c>
      <c r="H990" s="6" t="s">
        <v>53</v>
      </c>
      <c r="I990" s="6">
        <v>6</v>
      </c>
      <c r="J990" s="8">
        <v>375400</v>
      </c>
      <c r="K990" s="9">
        <v>0.08</v>
      </c>
      <c r="L990" s="10">
        <v>2072208</v>
      </c>
      <c r="M990" s="6">
        <v>1680000</v>
      </c>
      <c r="N990" s="6">
        <v>392208</v>
      </c>
      <c r="O990" s="6" t="s">
        <v>68</v>
      </c>
      <c r="P990" s="6" t="s">
        <v>32</v>
      </c>
      <c r="Q990" s="6" t="s">
        <v>26</v>
      </c>
    </row>
    <row r="991" spans="1:17" x14ac:dyDescent="0.3">
      <c r="A991" s="6" t="s">
        <v>1546</v>
      </c>
      <c r="B991" s="7">
        <v>46259</v>
      </c>
      <c r="C991" s="6" t="s">
        <v>736</v>
      </c>
      <c r="D991" s="6" t="s">
        <v>737</v>
      </c>
      <c r="E991" s="6" t="s">
        <v>20</v>
      </c>
      <c r="F991" s="6" t="s">
        <v>123</v>
      </c>
      <c r="G991" s="6" t="s">
        <v>22</v>
      </c>
      <c r="H991" s="6" t="s">
        <v>58</v>
      </c>
      <c r="I991" s="6">
        <v>2</v>
      </c>
      <c r="J991" s="8">
        <v>98000</v>
      </c>
      <c r="K991" s="9">
        <v>0.05</v>
      </c>
      <c r="L991" s="10">
        <v>-186200</v>
      </c>
      <c r="M991" s="6">
        <v>-110000</v>
      </c>
      <c r="N991" s="6">
        <v>-76200</v>
      </c>
      <c r="O991" s="6" t="s">
        <v>24</v>
      </c>
      <c r="P991" s="6" t="s">
        <v>119</v>
      </c>
      <c r="Q991" s="6" t="s">
        <v>105</v>
      </c>
    </row>
    <row r="992" spans="1:17" x14ac:dyDescent="0.3">
      <c r="A992" s="6" t="s">
        <v>1547</v>
      </c>
      <c r="B992" s="7">
        <v>46259</v>
      </c>
      <c r="C992" s="6" t="s">
        <v>492</v>
      </c>
      <c r="D992" s="6" t="s">
        <v>493</v>
      </c>
      <c r="E992" s="6" t="s">
        <v>20</v>
      </c>
      <c r="F992" s="6" t="s">
        <v>62</v>
      </c>
      <c r="G992" s="6" t="s">
        <v>22</v>
      </c>
      <c r="H992" s="6" t="s">
        <v>23</v>
      </c>
      <c r="I992" s="6">
        <v>1</v>
      </c>
      <c r="J992" s="8">
        <v>396500</v>
      </c>
      <c r="K992" s="9">
        <v>0.05</v>
      </c>
      <c r="L992" s="10">
        <v>376675</v>
      </c>
      <c r="M992" s="6">
        <v>300000</v>
      </c>
      <c r="N992" s="6">
        <v>76675</v>
      </c>
      <c r="O992" s="6" t="s">
        <v>68</v>
      </c>
      <c r="P992" s="6" t="s">
        <v>63</v>
      </c>
      <c r="Q992" s="6" t="s">
        <v>26</v>
      </c>
    </row>
    <row r="993" spans="1:17" x14ac:dyDescent="0.3">
      <c r="A993" s="6" t="s">
        <v>1548</v>
      </c>
      <c r="B993" s="7">
        <v>46259</v>
      </c>
      <c r="C993" s="6" t="s">
        <v>1136</v>
      </c>
      <c r="D993" s="6" t="s">
        <v>1137</v>
      </c>
      <c r="E993" s="6" t="s">
        <v>36</v>
      </c>
      <c r="F993" s="6" t="s">
        <v>36</v>
      </c>
      <c r="G993" s="6" t="s">
        <v>38</v>
      </c>
      <c r="H993" s="6" t="s">
        <v>214</v>
      </c>
      <c r="I993" s="6">
        <v>2</v>
      </c>
      <c r="J993" s="8">
        <v>42600</v>
      </c>
      <c r="K993" s="9">
        <v>0.08</v>
      </c>
      <c r="L993" s="10">
        <v>78384</v>
      </c>
      <c r="M993" s="6">
        <v>52000</v>
      </c>
      <c r="N993" s="6">
        <v>26384</v>
      </c>
      <c r="O993" s="6" t="s">
        <v>31</v>
      </c>
      <c r="P993" s="6" t="s">
        <v>90</v>
      </c>
      <c r="Q993" s="6" t="s">
        <v>26</v>
      </c>
    </row>
    <row r="994" spans="1:17" x14ac:dyDescent="0.3">
      <c r="A994" s="6" t="s">
        <v>1549</v>
      </c>
      <c r="B994" s="7">
        <v>46260</v>
      </c>
      <c r="C994" s="6" t="s">
        <v>603</v>
      </c>
      <c r="D994" s="6" t="s">
        <v>604</v>
      </c>
      <c r="E994" s="6" t="s">
        <v>36</v>
      </c>
      <c r="F994" s="6" t="s">
        <v>155</v>
      </c>
      <c r="G994" s="6" t="s">
        <v>44</v>
      </c>
      <c r="H994" s="6" t="s">
        <v>73</v>
      </c>
      <c r="I994" s="6">
        <v>1</v>
      </c>
      <c r="J994" s="8">
        <v>295400</v>
      </c>
      <c r="K994" s="9">
        <v>0.08</v>
      </c>
      <c r="L994" s="10">
        <v>271768</v>
      </c>
      <c r="M994" s="6">
        <v>210000</v>
      </c>
      <c r="N994" s="6">
        <v>61768</v>
      </c>
      <c r="O994" s="6" t="s">
        <v>24</v>
      </c>
      <c r="P994" s="6" t="s">
        <v>90</v>
      </c>
      <c r="Q994" s="6" t="s">
        <v>26</v>
      </c>
    </row>
    <row r="995" spans="1:17" x14ac:dyDescent="0.3">
      <c r="A995" s="6" t="s">
        <v>1550</v>
      </c>
      <c r="B995" s="7">
        <v>46261</v>
      </c>
      <c r="C995" s="6" t="s">
        <v>265</v>
      </c>
      <c r="D995" s="6" t="s">
        <v>266</v>
      </c>
      <c r="E995" s="6" t="s">
        <v>30</v>
      </c>
      <c r="F995" s="6" t="s">
        <v>222</v>
      </c>
      <c r="G995" s="6" t="s">
        <v>22</v>
      </c>
      <c r="H995" s="6" t="s">
        <v>49</v>
      </c>
      <c r="I995" s="6">
        <v>6</v>
      </c>
      <c r="J995" s="8">
        <v>1317200</v>
      </c>
      <c r="K995" s="9">
        <v>0.08</v>
      </c>
      <c r="L995" s="10">
        <v>7270944</v>
      </c>
      <c r="M995" s="6">
        <v>5700000</v>
      </c>
      <c r="N995" s="6">
        <v>1570944</v>
      </c>
      <c r="O995" s="6" t="s">
        <v>68</v>
      </c>
      <c r="P995" s="6" t="s">
        <v>90</v>
      </c>
      <c r="Q995" s="6" t="s">
        <v>26</v>
      </c>
    </row>
    <row r="996" spans="1:17" x14ac:dyDescent="0.3">
      <c r="A996" s="6" t="s">
        <v>1551</v>
      </c>
      <c r="B996" s="7">
        <v>46261</v>
      </c>
      <c r="C996" s="6" t="s">
        <v>704</v>
      </c>
      <c r="D996" s="6" t="s">
        <v>705</v>
      </c>
      <c r="E996" s="6" t="s">
        <v>87</v>
      </c>
      <c r="F996" s="6" t="s">
        <v>135</v>
      </c>
      <c r="G996" s="6" t="s">
        <v>78</v>
      </c>
      <c r="H996" s="6" t="s">
        <v>188</v>
      </c>
      <c r="I996" s="6">
        <v>7</v>
      </c>
      <c r="J996" s="8">
        <v>80900</v>
      </c>
      <c r="K996" s="9">
        <v>0.05</v>
      </c>
      <c r="L996" s="10">
        <v>537985</v>
      </c>
      <c r="M996" s="6">
        <v>364000</v>
      </c>
      <c r="N996" s="6">
        <v>173985</v>
      </c>
      <c r="O996" s="6" t="s">
        <v>68</v>
      </c>
      <c r="P996" s="6" t="s">
        <v>54</v>
      </c>
      <c r="Q996" s="6" t="s">
        <v>26</v>
      </c>
    </row>
    <row r="997" spans="1:17" x14ac:dyDescent="0.3">
      <c r="A997" s="6" t="s">
        <v>1552</v>
      </c>
      <c r="B997" s="7">
        <v>46261</v>
      </c>
      <c r="C997" s="6" t="s">
        <v>349</v>
      </c>
      <c r="D997" s="6" t="s">
        <v>350</v>
      </c>
      <c r="E997" s="6" t="s">
        <v>36</v>
      </c>
      <c r="F997" s="6" t="s">
        <v>36</v>
      </c>
      <c r="G997" s="6" t="s">
        <v>38</v>
      </c>
      <c r="H997" s="6" t="s">
        <v>39</v>
      </c>
      <c r="I997" s="6">
        <v>2</v>
      </c>
      <c r="J997" s="8">
        <v>28000</v>
      </c>
      <c r="K997" s="9">
        <v>0.05</v>
      </c>
      <c r="L997" s="10">
        <v>0</v>
      </c>
      <c r="M997" s="6">
        <v>0</v>
      </c>
      <c r="N997" s="6">
        <v>0</v>
      </c>
      <c r="O997" s="6" t="s">
        <v>24</v>
      </c>
      <c r="P997" s="6" t="s">
        <v>32</v>
      </c>
      <c r="Q997" s="6" t="s">
        <v>69</v>
      </c>
    </row>
    <row r="998" spans="1:17" x14ac:dyDescent="0.3">
      <c r="A998" s="6" t="s">
        <v>1553</v>
      </c>
      <c r="B998" s="7">
        <v>46261</v>
      </c>
      <c r="C998" s="6" t="s">
        <v>1036</v>
      </c>
      <c r="D998" s="6" t="s">
        <v>1037</v>
      </c>
      <c r="E998" s="6" t="s">
        <v>20</v>
      </c>
      <c r="F998" s="6" t="s">
        <v>20</v>
      </c>
      <c r="G998" s="6" t="s">
        <v>38</v>
      </c>
      <c r="H998" s="6" t="s">
        <v>214</v>
      </c>
      <c r="I998" s="6">
        <v>4</v>
      </c>
      <c r="J998" s="8">
        <v>47000</v>
      </c>
      <c r="K998" s="9">
        <v>0</v>
      </c>
      <c r="L998" s="10">
        <v>188000</v>
      </c>
      <c r="M998" s="6">
        <v>104000</v>
      </c>
      <c r="N998" s="6">
        <v>84000</v>
      </c>
      <c r="O998" s="6" t="s">
        <v>104</v>
      </c>
      <c r="P998" s="6" t="s">
        <v>54</v>
      </c>
      <c r="Q998" s="6" t="s">
        <v>26</v>
      </c>
    </row>
    <row r="999" spans="1:17" x14ac:dyDescent="0.3">
      <c r="A999" s="6" t="s">
        <v>1554</v>
      </c>
      <c r="B999" s="7">
        <v>46262</v>
      </c>
      <c r="C999" s="6" t="s">
        <v>265</v>
      </c>
      <c r="D999" s="6" t="s">
        <v>266</v>
      </c>
      <c r="E999" s="6" t="s">
        <v>67</v>
      </c>
      <c r="F999" s="6" t="s">
        <v>100</v>
      </c>
      <c r="G999" s="6" t="s">
        <v>38</v>
      </c>
      <c r="H999" s="6" t="s">
        <v>214</v>
      </c>
      <c r="I999" s="6">
        <v>4</v>
      </c>
      <c r="J999" s="8">
        <v>41500</v>
      </c>
      <c r="K999" s="9">
        <v>0.08</v>
      </c>
      <c r="L999" s="10">
        <v>152720</v>
      </c>
      <c r="M999" s="6">
        <v>104000</v>
      </c>
      <c r="N999" s="6">
        <v>48720</v>
      </c>
      <c r="O999" s="6" t="s">
        <v>24</v>
      </c>
      <c r="P999" s="6" t="s">
        <v>163</v>
      </c>
      <c r="Q999" s="6" t="s">
        <v>26</v>
      </c>
    </row>
    <row r="1000" spans="1:17" x14ac:dyDescent="0.3">
      <c r="A1000" s="6" t="s">
        <v>1555</v>
      </c>
      <c r="B1000" s="7">
        <v>46262</v>
      </c>
      <c r="C1000" s="6" t="s">
        <v>467</v>
      </c>
      <c r="D1000" s="6" t="s">
        <v>468</v>
      </c>
      <c r="E1000" s="6" t="s">
        <v>36</v>
      </c>
      <c r="F1000" s="6" t="s">
        <v>36</v>
      </c>
      <c r="G1000" s="6" t="s">
        <v>38</v>
      </c>
      <c r="H1000" s="6" t="s">
        <v>39</v>
      </c>
      <c r="I1000" s="6">
        <v>4</v>
      </c>
      <c r="J1000" s="8">
        <v>25800</v>
      </c>
      <c r="K1000" s="9">
        <v>0.05</v>
      </c>
      <c r="L1000" s="10">
        <v>98040</v>
      </c>
      <c r="M1000" s="6">
        <v>60000</v>
      </c>
      <c r="N1000" s="6">
        <v>38040</v>
      </c>
      <c r="O1000" s="6" t="s">
        <v>68</v>
      </c>
      <c r="P1000" s="6" t="s">
        <v>63</v>
      </c>
      <c r="Q1000" s="6" t="s">
        <v>26</v>
      </c>
    </row>
    <row r="1001" spans="1:17" x14ac:dyDescent="0.3">
      <c r="A1001" s="6" t="s">
        <v>1556</v>
      </c>
      <c r="B1001" s="7">
        <v>46262</v>
      </c>
      <c r="C1001" s="6" t="s">
        <v>960</v>
      </c>
      <c r="D1001" s="6" t="s">
        <v>961</v>
      </c>
      <c r="E1001" s="6" t="s">
        <v>20</v>
      </c>
      <c r="F1001" s="6" t="s">
        <v>20</v>
      </c>
      <c r="G1001" s="6" t="s">
        <v>38</v>
      </c>
      <c r="H1001" s="6" t="s">
        <v>127</v>
      </c>
      <c r="I1001" s="6">
        <v>1</v>
      </c>
      <c r="J1001" s="8">
        <v>247800</v>
      </c>
      <c r="K1001" s="9">
        <v>0.02</v>
      </c>
      <c r="L1001" s="10">
        <v>242844</v>
      </c>
      <c r="M1001" s="6">
        <v>165000</v>
      </c>
      <c r="N1001" s="6">
        <v>77844</v>
      </c>
      <c r="O1001" s="6" t="s">
        <v>24</v>
      </c>
      <c r="P1001" s="6" t="s">
        <v>63</v>
      </c>
      <c r="Q1001" s="6" t="s">
        <v>26</v>
      </c>
    </row>
  </sheetData>
  <autoFilter ref="A1:Q1001" xr:uid="{00000000-0009-0000-0000-000000000000}"/>
  <pageMargins left="0.75" right="0.75" top="1" bottom="1" header="0.5" footer="0.5"/>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5"/>
  <sheetViews>
    <sheetView workbookViewId="0">
      <pane ySplit="3" topLeftCell="A21" activePane="bottomLeft" state="frozen"/>
      <selection pane="bottomLeft" activeCell="C28" sqref="C28"/>
    </sheetView>
  </sheetViews>
  <sheetFormatPr defaultRowHeight="14.4" x14ac:dyDescent="0.3"/>
  <cols>
    <col min="1" max="1" width="12" customWidth="1"/>
    <col min="2" max="2" width="85" customWidth="1"/>
    <col min="3" max="3" width="12.44140625" bestFit="1" customWidth="1"/>
    <col min="4" max="4" width="13.109375" bestFit="1" customWidth="1"/>
    <col min="5" max="5" width="17.5546875" bestFit="1" customWidth="1"/>
    <col min="6" max="6" width="12" bestFit="1" customWidth="1"/>
    <col min="8" max="8" width="8.77734375" customWidth="1"/>
    <col min="9" max="9" width="17.5546875" bestFit="1" customWidth="1"/>
  </cols>
  <sheetData>
    <row r="1" spans="1:8" ht="18" x14ac:dyDescent="0.3">
      <c r="A1" s="1" t="s">
        <v>1557</v>
      </c>
      <c r="B1" s="1" t="s">
        <v>1558</v>
      </c>
    </row>
    <row r="2" spans="1:8" ht="57.6" x14ac:dyDescent="0.3">
      <c r="A2" s="2" t="s">
        <v>1559</v>
      </c>
      <c r="B2" s="2"/>
    </row>
    <row r="3" spans="1:8" x14ac:dyDescent="0.3">
      <c r="A3" s="2" t="s">
        <v>1560</v>
      </c>
      <c r="B3" s="2" t="s">
        <v>1561</v>
      </c>
    </row>
    <row r="4" spans="1:8" x14ac:dyDescent="0.3">
      <c r="A4" s="3"/>
      <c r="B4" s="3"/>
    </row>
    <row r="5" spans="1:8" ht="28.8" x14ac:dyDescent="0.3">
      <c r="A5" s="2" t="s">
        <v>1562</v>
      </c>
      <c r="B5" s="2"/>
    </row>
    <row r="6" spans="1:8" x14ac:dyDescent="0.3">
      <c r="A6" s="2" t="s">
        <v>1563</v>
      </c>
      <c r="B6" s="2" t="s">
        <v>1564</v>
      </c>
      <c r="C6" s="13">
        <f>SUM(Sales_Data!L2:L1001)</f>
        <v>921232075</v>
      </c>
      <c r="E6" s="11"/>
    </row>
    <row r="7" spans="1:8" x14ac:dyDescent="0.3">
      <c r="A7" s="2" t="s">
        <v>1565</v>
      </c>
      <c r="B7" s="2" t="s">
        <v>1566</v>
      </c>
      <c r="C7" s="13">
        <f>SUM(Sales_Data!M2:M1001)</f>
        <v>693913000</v>
      </c>
      <c r="F7" s="11"/>
    </row>
    <row r="8" spans="1:8" x14ac:dyDescent="0.3">
      <c r="A8" s="2" t="s">
        <v>1567</v>
      </c>
      <c r="B8" s="2" t="s">
        <v>1568</v>
      </c>
      <c r="C8" s="11">
        <f>SUM(Sales_Data!N2:N1001)</f>
        <v>227319075</v>
      </c>
    </row>
    <row r="9" spans="1:8" x14ac:dyDescent="0.3">
      <c r="A9" s="2" t="s">
        <v>1569</v>
      </c>
      <c r="B9" s="2" t="s">
        <v>1570</v>
      </c>
      <c r="C9" s="11">
        <v>1000</v>
      </c>
    </row>
    <row r="10" spans="1:8" x14ac:dyDescent="0.3">
      <c r="A10" s="2" t="s">
        <v>1571</v>
      </c>
      <c r="B10" s="2" t="s">
        <v>1572</v>
      </c>
      <c r="C10" s="11">
        <f>SUM(Sales_Data!I2:I1001)</f>
        <v>3986</v>
      </c>
      <c r="H10" s="14"/>
    </row>
    <row r="11" spans="1:8" x14ac:dyDescent="0.3">
      <c r="A11" s="2" t="s">
        <v>1573</v>
      </c>
      <c r="B11" s="2" t="s">
        <v>1574</v>
      </c>
      <c r="C11">
        <f>C6/C9</f>
        <v>921232.07499999995</v>
      </c>
    </row>
    <row r="12" spans="1:8" x14ac:dyDescent="0.3">
      <c r="A12" s="2" t="s">
        <v>1575</v>
      </c>
      <c r="B12" s="2" t="s">
        <v>1576</v>
      </c>
      <c r="C12" s="14">
        <f>C8/C6</f>
        <v>0.24675549318015225</v>
      </c>
    </row>
    <row r="13" spans="1:8" x14ac:dyDescent="0.3">
      <c r="A13" s="3"/>
      <c r="B13" s="3"/>
    </row>
    <row r="14" spans="1:8" ht="43.2" x14ac:dyDescent="0.3">
      <c r="A14" s="2" t="s">
        <v>1577</v>
      </c>
      <c r="B14" s="2"/>
    </row>
    <row r="15" spans="1:8" x14ac:dyDescent="0.3">
      <c r="A15" s="2" t="s">
        <v>1578</v>
      </c>
      <c r="B15" s="2" t="s">
        <v>1579</v>
      </c>
      <c r="C15" s="12" t="s">
        <v>20</v>
      </c>
    </row>
    <row r="16" spans="1:8" x14ac:dyDescent="0.3">
      <c r="A16" s="2" t="s">
        <v>1580</v>
      </c>
      <c r="B16" s="2" t="s">
        <v>1581</v>
      </c>
      <c r="C16" s="19" t="s">
        <v>49</v>
      </c>
    </row>
    <row r="17" spans="1:5" x14ac:dyDescent="0.3">
      <c r="A17" s="2" t="s">
        <v>1582</v>
      </c>
      <c r="B17" s="2" t="s">
        <v>1583</v>
      </c>
      <c r="C17" s="19" t="s">
        <v>32</v>
      </c>
    </row>
    <row r="18" spans="1:5" x14ac:dyDescent="0.3">
      <c r="A18" s="2" t="s">
        <v>1584</v>
      </c>
      <c r="B18" s="2" t="s">
        <v>1585</v>
      </c>
      <c r="C18" s="22" t="s">
        <v>38</v>
      </c>
    </row>
    <row r="19" spans="1:5" x14ac:dyDescent="0.3">
      <c r="A19" s="2" t="s">
        <v>1586</v>
      </c>
      <c r="B19" s="2" t="s">
        <v>1587</v>
      </c>
      <c r="C19" s="20" t="s">
        <v>1631</v>
      </c>
    </row>
    <row r="20" spans="1:5" x14ac:dyDescent="0.3">
      <c r="A20" s="2" t="s">
        <v>1588</v>
      </c>
      <c r="B20" s="2" t="s">
        <v>1589</v>
      </c>
      <c r="C20" s="21">
        <v>5.3199999999999997E-2</v>
      </c>
      <c r="D20" s="16"/>
      <c r="E20" s="16"/>
    </row>
    <row r="21" spans="1:5" x14ac:dyDescent="0.3">
      <c r="A21" s="2" t="s">
        <v>1590</v>
      </c>
      <c r="B21" s="2" t="s">
        <v>1591</v>
      </c>
      <c r="C21" s="19" t="s">
        <v>123</v>
      </c>
      <c r="E21" s="17"/>
    </row>
    <row r="22" spans="1:5" x14ac:dyDescent="0.3">
      <c r="A22" s="2" t="s">
        <v>1592</v>
      </c>
      <c r="B22" s="2" t="s">
        <v>1593</v>
      </c>
      <c r="C22" s="19" t="s">
        <v>104</v>
      </c>
      <c r="E22" s="17"/>
    </row>
    <row r="23" spans="1:5" x14ac:dyDescent="0.3">
      <c r="A23" s="2" t="s">
        <v>1594</v>
      </c>
      <c r="B23" s="2" t="s">
        <v>1595</v>
      </c>
      <c r="C23" s="19" t="s">
        <v>22</v>
      </c>
      <c r="E23" s="17"/>
    </row>
    <row r="24" spans="1:5" x14ac:dyDescent="0.3">
      <c r="A24" s="3" t="s">
        <v>1596</v>
      </c>
      <c r="B24" s="3" t="s">
        <v>1597</v>
      </c>
      <c r="C24" s="19" t="s">
        <v>257</v>
      </c>
      <c r="E24" s="17"/>
    </row>
    <row r="25" spans="1:5" x14ac:dyDescent="0.3">
      <c r="A25" s="2" t="s">
        <v>1598</v>
      </c>
      <c r="B25" s="2" t="s">
        <v>1599</v>
      </c>
      <c r="C25" s="23" t="s">
        <v>1632</v>
      </c>
      <c r="E25" s="17"/>
    </row>
    <row r="26" spans="1:5" x14ac:dyDescent="0.3">
      <c r="A26" s="2"/>
      <c r="B26" s="2"/>
    </row>
    <row r="27" spans="1:5" ht="28.8" x14ac:dyDescent="0.3">
      <c r="A27" s="2" t="s">
        <v>1647</v>
      </c>
      <c r="B27" s="2"/>
    </row>
    <row r="28" spans="1:5" x14ac:dyDescent="0.3">
      <c r="A28" s="2" t="s">
        <v>1600</v>
      </c>
      <c r="B28" s="2" t="s">
        <v>1601</v>
      </c>
    </row>
    <row r="29" spans="1:5" x14ac:dyDescent="0.3">
      <c r="A29" s="2" t="s">
        <v>1602</v>
      </c>
      <c r="B29" s="2" t="s">
        <v>1603</v>
      </c>
    </row>
    <row r="30" spans="1:5" x14ac:dyDescent="0.3">
      <c r="A30" s="2" t="s">
        <v>1604</v>
      </c>
      <c r="B30" s="2" t="s">
        <v>1605</v>
      </c>
    </row>
    <row r="31" spans="1:5" x14ac:dyDescent="0.3">
      <c r="A31" s="2" t="s">
        <v>1606</v>
      </c>
      <c r="B31" s="2" t="s">
        <v>1607</v>
      </c>
    </row>
    <row r="32" spans="1:5" x14ac:dyDescent="0.3">
      <c r="A32" s="2" t="s">
        <v>1608</v>
      </c>
      <c r="B32" s="2" t="s">
        <v>1609</v>
      </c>
    </row>
    <row r="33" spans="1:2" x14ac:dyDescent="0.3">
      <c r="A33" s="2" t="s">
        <v>1610</v>
      </c>
      <c r="B33" s="2" t="s">
        <v>1611</v>
      </c>
    </row>
    <row r="34" spans="1:2" x14ac:dyDescent="0.3">
      <c r="A34" s="2"/>
      <c r="B34" s="2"/>
    </row>
    <row r="35" spans="1:2" x14ac:dyDescent="0.3">
      <c r="A35" s="2"/>
      <c r="B35" s="2"/>
    </row>
  </sheetData>
  <conditionalFormatting sqref="C24">
    <cfRule type="duplicateValues" dxfId="2" priority="3"/>
    <cfRule type="duplicateValues" dxfId="1" priority="4"/>
    <cfRule type="duplicateValues" dxfId="0" priority="5"/>
  </conditionalFormatting>
  <pageMargins left="0.75" right="0.75" top="1" bottom="1" header="0.5" footer="0.5"/>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51"/>
  <sheetViews>
    <sheetView topLeftCell="A168" workbookViewId="0"/>
  </sheetViews>
  <sheetFormatPr defaultRowHeight="14.4" x14ac:dyDescent="0.3"/>
  <cols>
    <col min="1" max="1" width="15" customWidth="1"/>
    <col min="2" max="2" width="22" customWidth="1"/>
    <col min="4" max="4" width="16" customWidth="1"/>
    <col min="6" max="6" width="20" customWidth="1"/>
    <col min="8" max="8" width="20" customWidth="1"/>
  </cols>
  <sheetData>
    <row r="1" spans="1:8" x14ac:dyDescent="0.3">
      <c r="A1" s="4" t="s">
        <v>2</v>
      </c>
      <c r="B1" s="4" t="s">
        <v>3</v>
      </c>
      <c r="C1" s="4"/>
      <c r="D1" s="4" t="s">
        <v>1612</v>
      </c>
      <c r="E1" s="4"/>
      <c r="F1" s="4" t="s">
        <v>1613</v>
      </c>
      <c r="G1" s="4"/>
      <c r="H1" s="4" t="s">
        <v>1614</v>
      </c>
    </row>
    <row r="2" spans="1:8" x14ac:dyDescent="0.3">
      <c r="A2" t="s">
        <v>238</v>
      </c>
      <c r="B2" t="s">
        <v>239</v>
      </c>
      <c r="D2" t="s">
        <v>20</v>
      </c>
      <c r="F2" t="s">
        <v>22</v>
      </c>
      <c r="H2" t="s">
        <v>90</v>
      </c>
    </row>
    <row r="3" spans="1:8" x14ac:dyDescent="0.3">
      <c r="A3" t="s">
        <v>274</v>
      </c>
      <c r="B3" t="s">
        <v>275</v>
      </c>
      <c r="D3" t="s">
        <v>36</v>
      </c>
      <c r="F3" t="s">
        <v>38</v>
      </c>
      <c r="H3" t="s">
        <v>25</v>
      </c>
    </row>
    <row r="4" spans="1:8" x14ac:dyDescent="0.3">
      <c r="A4" t="s">
        <v>845</v>
      </c>
      <c r="B4" t="s">
        <v>846</v>
      </c>
      <c r="D4" t="s">
        <v>30</v>
      </c>
      <c r="F4" t="s">
        <v>44</v>
      </c>
      <c r="H4" t="s">
        <v>163</v>
      </c>
    </row>
    <row r="5" spans="1:8" x14ac:dyDescent="0.3">
      <c r="A5" t="s">
        <v>960</v>
      </c>
      <c r="B5" t="s">
        <v>961</v>
      </c>
      <c r="D5" t="s">
        <v>67</v>
      </c>
      <c r="F5" t="s">
        <v>78</v>
      </c>
      <c r="H5" t="s">
        <v>54</v>
      </c>
    </row>
    <row r="6" spans="1:8" x14ac:dyDescent="0.3">
      <c r="A6" t="s">
        <v>387</v>
      </c>
      <c r="B6" t="s">
        <v>388</v>
      </c>
      <c r="D6" t="s">
        <v>87</v>
      </c>
      <c r="H6" t="s">
        <v>119</v>
      </c>
    </row>
    <row r="7" spans="1:8" x14ac:dyDescent="0.3">
      <c r="A7" t="s">
        <v>1169</v>
      </c>
      <c r="B7" t="s">
        <v>1170</v>
      </c>
      <c r="H7" t="s">
        <v>63</v>
      </c>
    </row>
    <row r="8" spans="1:8" x14ac:dyDescent="0.3">
      <c r="A8" t="s">
        <v>684</v>
      </c>
      <c r="B8" t="s">
        <v>685</v>
      </c>
      <c r="H8" t="s">
        <v>74</v>
      </c>
    </row>
    <row r="9" spans="1:8" x14ac:dyDescent="0.3">
      <c r="A9" t="s">
        <v>280</v>
      </c>
      <c r="B9" t="s">
        <v>281</v>
      </c>
      <c r="H9" t="s">
        <v>32</v>
      </c>
    </row>
    <row r="10" spans="1:8" x14ac:dyDescent="0.3">
      <c r="A10" t="s">
        <v>859</v>
      </c>
      <c r="B10" t="s">
        <v>860</v>
      </c>
    </row>
    <row r="11" spans="1:8" x14ac:dyDescent="0.3">
      <c r="A11" t="s">
        <v>312</v>
      </c>
      <c r="B11" t="s">
        <v>313</v>
      </c>
    </row>
    <row r="12" spans="1:8" x14ac:dyDescent="0.3">
      <c r="A12" t="s">
        <v>489</v>
      </c>
      <c r="B12" t="s">
        <v>490</v>
      </c>
    </row>
    <row r="13" spans="1:8" x14ac:dyDescent="0.3">
      <c r="A13" t="s">
        <v>554</v>
      </c>
      <c r="B13" t="s">
        <v>555</v>
      </c>
    </row>
    <row r="14" spans="1:8" x14ac:dyDescent="0.3">
      <c r="A14" t="s">
        <v>633</v>
      </c>
      <c r="B14" t="s">
        <v>634</v>
      </c>
    </row>
    <row r="15" spans="1:8" x14ac:dyDescent="0.3">
      <c r="A15" t="s">
        <v>889</v>
      </c>
      <c r="B15" t="s">
        <v>890</v>
      </c>
    </row>
    <row r="16" spans="1:8" x14ac:dyDescent="0.3">
      <c r="A16" t="s">
        <v>766</v>
      </c>
      <c r="B16" t="s">
        <v>767</v>
      </c>
    </row>
    <row r="17" spans="1:2" x14ac:dyDescent="0.3">
      <c r="A17" t="s">
        <v>359</v>
      </c>
      <c r="B17" t="s">
        <v>360</v>
      </c>
    </row>
    <row r="18" spans="1:2" x14ac:dyDescent="0.3">
      <c r="A18" t="s">
        <v>60</v>
      </c>
      <c r="B18" t="s">
        <v>61</v>
      </c>
    </row>
    <row r="19" spans="1:2" x14ac:dyDescent="0.3">
      <c r="A19" t="s">
        <v>1615</v>
      </c>
      <c r="B19" t="s">
        <v>1616</v>
      </c>
    </row>
    <row r="20" spans="1:2" x14ac:dyDescent="0.3">
      <c r="A20" t="s">
        <v>1176</v>
      </c>
      <c r="B20" t="s">
        <v>1177</v>
      </c>
    </row>
    <row r="21" spans="1:2" x14ac:dyDescent="0.3">
      <c r="A21" t="s">
        <v>588</v>
      </c>
      <c r="B21" t="s">
        <v>589</v>
      </c>
    </row>
    <row r="22" spans="1:2" x14ac:dyDescent="0.3">
      <c r="A22" t="s">
        <v>342</v>
      </c>
      <c r="B22" t="s">
        <v>343</v>
      </c>
    </row>
    <row r="23" spans="1:2" x14ac:dyDescent="0.3">
      <c r="A23" t="s">
        <v>616</v>
      </c>
      <c r="B23" t="s">
        <v>617</v>
      </c>
    </row>
    <row r="24" spans="1:2" x14ac:dyDescent="0.3">
      <c r="A24" t="s">
        <v>399</v>
      </c>
      <c r="B24" t="s">
        <v>400</v>
      </c>
    </row>
    <row r="25" spans="1:2" x14ac:dyDescent="0.3">
      <c r="A25" t="s">
        <v>1617</v>
      </c>
      <c r="B25" t="s">
        <v>1618</v>
      </c>
    </row>
    <row r="26" spans="1:2" x14ac:dyDescent="0.3">
      <c r="A26" t="s">
        <v>661</v>
      </c>
      <c r="B26" t="s">
        <v>662</v>
      </c>
    </row>
    <row r="27" spans="1:2" x14ac:dyDescent="0.3">
      <c r="A27" t="s">
        <v>680</v>
      </c>
      <c r="B27" t="s">
        <v>681</v>
      </c>
    </row>
    <row r="28" spans="1:2" x14ac:dyDescent="0.3">
      <c r="A28" t="s">
        <v>573</v>
      </c>
      <c r="B28" t="s">
        <v>574</v>
      </c>
    </row>
    <row r="29" spans="1:2" x14ac:dyDescent="0.3">
      <c r="A29" t="s">
        <v>603</v>
      </c>
      <c r="B29" t="s">
        <v>604</v>
      </c>
    </row>
    <row r="30" spans="1:2" x14ac:dyDescent="0.3">
      <c r="A30" t="s">
        <v>637</v>
      </c>
      <c r="B30" t="s">
        <v>638</v>
      </c>
    </row>
    <row r="31" spans="1:2" x14ac:dyDescent="0.3">
      <c r="A31" t="s">
        <v>102</v>
      </c>
      <c r="B31" t="s">
        <v>103</v>
      </c>
    </row>
    <row r="32" spans="1:2" x14ac:dyDescent="0.3">
      <c r="A32" t="s">
        <v>339</v>
      </c>
      <c r="B32" t="s">
        <v>340</v>
      </c>
    </row>
    <row r="33" spans="1:2" x14ac:dyDescent="0.3">
      <c r="A33" t="s">
        <v>384</v>
      </c>
      <c r="B33" t="s">
        <v>385</v>
      </c>
    </row>
    <row r="34" spans="1:2" x14ac:dyDescent="0.3">
      <c r="A34" t="s">
        <v>378</v>
      </c>
      <c r="B34" t="s">
        <v>379</v>
      </c>
    </row>
    <row r="35" spans="1:2" x14ac:dyDescent="0.3">
      <c r="A35" t="s">
        <v>375</v>
      </c>
      <c r="B35" t="s">
        <v>376</v>
      </c>
    </row>
    <row r="36" spans="1:2" x14ac:dyDescent="0.3">
      <c r="A36" t="s">
        <v>446</v>
      </c>
      <c r="B36" t="s">
        <v>447</v>
      </c>
    </row>
    <row r="37" spans="1:2" x14ac:dyDescent="0.3">
      <c r="A37" t="s">
        <v>345</v>
      </c>
      <c r="B37" t="s">
        <v>346</v>
      </c>
    </row>
    <row r="38" spans="1:2" x14ac:dyDescent="0.3">
      <c r="A38" t="s">
        <v>1250</v>
      </c>
      <c r="B38" t="s">
        <v>1251</v>
      </c>
    </row>
    <row r="39" spans="1:2" x14ac:dyDescent="0.3">
      <c r="A39" t="s">
        <v>202</v>
      </c>
      <c r="B39" t="s">
        <v>203</v>
      </c>
    </row>
    <row r="40" spans="1:2" x14ac:dyDescent="0.3">
      <c r="A40" t="s">
        <v>180</v>
      </c>
      <c r="B40" t="s">
        <v>181</v>
      </c>
    </row>
    <row r="41" spans="1:2" x14ac:dyDescent="0.3">
      <c r="A41" t="s">
        <v>381</v>
      </c>
      <c r="B41" t="s">
        <v>382</v>
      </c>
    </row>
    <row r="42" spans="1:2" x14ac:dyDescent="0.3">
      <c r="A42" t="s">
        <v>153</v>
      </c>
      <c r="B42" t="s">
        <v>154</v>
      </c>
    </row>
    <row r="43" spans="1:2" x14ac:dyDescent="0.3">
      <c r="A43" t="s">
        <v>953</v>
      </c>
      <c r="B43" t="s">
        <v>954</v>
      </c>
    </row>
    <row r="44" spans="1:2" x14ac:dyDescent="0.3">
      <c r="A44" t="s">
        <v>418</v>
      </c>
      <c r="B44" t="s">
        <v>419</v>
      </c>
    </row>
    <row r="45" spans="1:2" x14ac:dyDescent="0.3">
      <c r="A45" t="s">
        <v>1619</v>
      </c>
      <c r="B45" t="s">
        <v>1620</v>
      </c>
    </row>
    <row r="46" spans="1:2" x14ac:dyDescent="0.3">
      <c r="A46" t="s">
        <v>369</v>
      </c>
      <c r="B46" t="s">
        <v>370</v>
      </c>
    </row>
    <row r="47" spans="1:2" x14ac:dyDescent="0.3">
      <c r="A47" t="s">
        <v>117</v>
      </c>
      <c r="B47" t="s">
        <v>118</v>
      </c>
    </row>
    <row r="48" spans="1:2" x14ac:dyDescent="0.3">
      <c r="A48" t="s">
        <v>161</v>
      </c>
      <c r="B48" t="s">
        <v>162</v>
      </c>
    </row>
    <row r="49" spans="1:2" x14ac:dyDescent="0.3">
      <c r="A49" t="s">
        <v>529</v>
      </c>
      <c r="B49" t="s">
        <v>530</v>
      </c>
    </row>
    <row r="50" spans="1:2" x14ac:dyDescent="0.3">
      <c r="A50" t="s">
        <v>277</v>
      </c>
      <c r="B50" t="s">
        <v>278</v>
      </c>
    </row>
    <row r="51" spans="1:2" x14ac:dyDescent="0.3">
      <c r="A51" t="s">
        <v>362</v>
      </c>
      <c r="B51" t="s">
        <v>363</v>
      </c>
    </row>
    <row r="52" spans="1:2" x14ac:dyDescent="0.3">
      <c r="A52" t="s">
        <v>1246</v>
      </c>
      <c r="B52" t="s">
        <v>1247</v>
      </c>
    </row>
    <row r="53" spans="1:2" x14ac:dyDescent="0.3">
      <c r="A53" t="s">
        <v>782</v>
      </c>
      <c r="B53" t="s">
        <v>783</v>
      </c>
    </row>
    <row r="54" spans="1:2" x14ac:dyDescent="0.3">
      <c r="A54" t="s">
        <v>431</v>
      </c>
      <c r="B54" t="s">
        <v>432</v>
      </c>
    </row>
    <row r="55" spans="1:2" x14ac:dyDescent="0.3">
      <c r="A55" t="s">
        <v>851</v>
      </c>
      <c r="B55" t="s">
        <v>852</v>
      </c>
    </row>
    <row r="56" spans="1:2" x14ac:dyDescent="0.3">
      <c r="A56" t="s">
        <v>428</v>
      </c>
      <c r="B56" t="s">
        <v>429</v>
      </c>
    </row>
    <row r="57" spans="1:2" x14ac:dyDescent="0.3">
      <c r="A57" t="s">
        <v>177</v>
      </c>
      <c r="B57" t="s">
        <v>178</v>
      </c>
    </row>
    <row r="58" spans="1:2" x14ac:dyDescent="0.3">
      <c r="A58" t="s">
        <v>1080</v>
      </c>
      <c r="B58" t="s">
        <v>1081</v>
      </c>
    </row>
    <row r="59" spans="1:2" x14ac:dyDescent="0.3">
      <c r="A59" t="s">
        <v>610</v>
      </c>
      <c r="B59" t="s">
        <v>611</v>
      </c>
    </row>
    <row r="60" spans="1:2" x14ac:dyDescent="0.3">
      <c r="A60" t="s">
        <v>533</v>
      </c>
      <c r="B60" t="s">
        <v>534</v>
      </c>
    </row>
    <row r="61" spans="1:2" x14ac:dyDescent="0.3">
      <c r="A61" t="s">
        <v>71</v>
      </c>
      <c r="B61" t="s">
        <v>72</v>
      </c>
    </row>
    <row r="62" spans="1:2" x14ac:dyDescent="0.3">
      <c r="A62" t="s">
        <v>390</v>
      </c>
      <c r="B62" t="s">
        <v>391</v>
      </c>
    </row>
    <row r="63" spans="1:2" x14ac:dyDescent="0.3">
      <c r="A63" t="s">
        <v>365</v>
      </c>
      <c r="B63" t="s">
        <v>366</v>
      </c>
    </row>
    <row r="64" spans="1:2" x14ac:dyDescent="0.3">
      <c r="A64" t="s">
        <v>449</v>
      </c>
      <c r="B64" t="s">
        <v>450</v>
      </c>
    </row>
    <row r="65" spans="1:2" x14ac:dyDescent="0.3">
      <c r="A65" t="s">
        <v>823</v>
      </c>
      <c r="B65" t="s">
        <v>824</v>
      </c>
    </row>
    <row r="66" spans="1:2" x14ac:dyDescent="0.3">
      <c r="A66" t="s">
        <v>495</v>
      </c>
      <c r="B66" t="s">
        <v>496</v>
      </c>
    </row>
    <row r="67" spans="1:2" x14ac:dyDescent="0.3">
      <c r="A67" t="s">
        <v>515</v>
      </c>
      <c r="B67" t="s">
        <v>516</v>
      </c>
    </row>
    <row r="68" spans="1:2" x14ac:dyDescent="0.3">
      <c r="A68" t="s">
        <v>1207</v>
      </c>
      <c r="B68" t="s">
        <v>1208</v>
      </c>
    </row>
    <row r="69" spans="1:2" x14ac:dyDescent="0.3">
      <c r="A69" t="s">
        <v>897</v>
      </c>
      <c r="B69" t="s">
        <v>898</v>
      </c>
    </row>
    <row r="70" spans="1:2" x14ac:dyDescent="0.3">
      <c r="A70" t="s">
        <v>209</v>
      </c>
      <c r="B70" t="s">
        <v>210</v>
      </c>
    </row>
    <row r="71" spans="1:2" x14ac:dyDescent="0.3">
      <c r="A71" t="s">
        <v>806</v>
      </c>
      <c r="B71" t="s">
        <v>807</v>
      </c>
    </row>
    <row r="72" spans="1:2" x14ac:dyDescent="0.3">
      <c r="A72" t="s">
        <v>755</v>
      </c>
      <c r="B72" t="s">
        <v>756</v>
      </c>
    </row>
    <row r="73" spans="1:2" x14ac:dyDescent="0.3">
      <c r="A73" t="s">
        <v>256</v>
      </c>
      <c r="B73" t="s">
        <v>257</v>
      </c>
    </row>
    <row r="74" spans="1:2" x14ac:dyDescent="0.3">
      <c r="A74" t="s">
        <v>228</v>
      </c>
      <c r="B74" t="s">
        <v>229</v>
      </c>
    </row>
    <row r="75" spans="1:2" x14ac:dyDescent="0.3">
      <c r="A75" t="s">
        <v>630</v>
      </c>
      <c r="B75" t="s">
        <v>631</v>
      </c>
    </row>
    <row r="76" spans="1:2" x14ac:dyDescent="0.3">
      <c r="A76" t="s">
        <v>991</v>
      </c>
      <c r="B76" t="s">
        <v>992</v>
      </c>
    </row>
    <row r="77" spans="1:2" x14ac:dyDescent="0.3">
      <c r="A77" t="s">
        <v>564</v>
      </c>
      <c r="B77" t="s">
        <v>565</v>
      </c>
    </row>
    <row r="78" spans="1:2" x14ac:dyDescent="0.3">
      <c r="A78" t="s">
        <v>140</v>
      </c>
      <c r="B78" t="s">
        <v>141</v>
      </c>
    </row>
    <row r="79" spans="1:2" x14ac:dyDescent="0.3">
      <c r="A79" t="s">
        <v>732</v>
      </c>
      <c r="B79" t="s">
        <v>733</v>
      </c>
    </row>
    <row r="80" spans="1:2" x14ac:dyDescent="0.3">
      <c r="A80" t="s">
        <v>903</v>
      </c>
      <c r="B80" t="s">
        <v>904</v>
      </c>
    </row>
    <row r="81" spans="1:2" x14ac:dyDescent="0.3">
      <c r="A81" t="s">
        <v>917</v>
      </c>
      <c r="B81" t="s">
        <v>918</v>
      </c>
    </row>
    <row r="82" spans="1:2" x14ac:dyDescent="0.3">
      <c r="A82" t="s">
        <v>434</v>
      </c>
      <c r="B82" t="s">
        <v>435</v>
      </c>
    </row>
    <row r="83" spans="1:2" x14ac:dyDescent="0.3">
      <c r="A83" t="s">
        <v>349</v>
      </c>
      <c r="B83" t="s">
        <v>350</v>
      </c>
    </row>
    <row r="84" spans="1:2" x14ac:dyDescent="0.3">
      <c r="A84" t="s">
        <v>308</v>
      </c>
      <c r="B84" t="s">
        <v>309</v>
      </c>
    </row>
    <row r="85" spans="1:2" x14ac:dyDescent="0.3">
      <c r="A85" t="s">
        <v>47</v>
      </c>
      <c r="B85" t="s">
        <v>48</v>
      </c>
    </row>
    <row r="86" spans="1:2" x14ac:dyDescent="0.3">
      <c r="A86" t="s">
        <v>1044</v>
      </c>
      <c r="B86" t="s">
        <v>1045</v>
      </c>
    </row>
    <row r="87" spans="1:2" x14ac:dyDescent="0.3">
      <c r="A87" t="s">
        <v>526</v>
      </c>
      <c r="B87" t="s">
        <v>527</v>
      </c>
    </row>
    <row r="88" spans="1:2" x14ac:dyDescent="0.3">
      <c r="A88" t="s">
        <v>250</v>
      </c>
      <c r="B88" t="s">
        <v>251</v>
      </c>
    </row>
    <row r="89" spans="1:2" x14ac:dyDescent="0.3">
      <c r="A89" t="s">
        <v>810</v>
      </c>
      <c r="B89" t="s">
        <v>811</v>
      </c>
    </row>
    <row r="90" spans="1:2" x14ac:dyDescent="0.3">
      <c r="A90" t="s">
        <v>464</v>
      </c>
      <c r="B90" t="s">
        <v>465</v>
      </c>
    </row>
    <row r="91" spans="1:2" x14ac:dyDescent="0.3">
      <c r="A91" t="s">
        <v>622</v>
      </c>
      <c r="B91" t="s">
        <v>623</v>
      </c>
    </row>
    <row r="92" spans="1:2" x14ac:dyDescent="0.3">
      <c r="A92" t="s">
        <v>150</v>
      </c>
      <c r="B92" t="s">
        <v>151</v>
      </c>
    </row>
    <row r="93" spans="1:2" x14ac:dyDescent="0.3">
      <c r="A93" t="s">
        <v>1621</v>
      </c>
      <c r="B93" t="s">
        <v>1622</v>
      </c>
    </row>
    <row r="94" spans="1:2" x14ac:dyDescent="0.3">
      <c r="A94" t="s">
        <v>324</v>
      </c>
      <c r="B94" t="s">
        <v>325</v>
      </c>
    </row>
    <row r="95" spans="1:2" x14ac:dyDescent="0.3">
      <c r="A95" t="s">
        <v>728</v>
      </c>
      <c r="B95" t="s">
        <v>729</v>
      </c>
    </row>
    <row r="96" spans="1:2" x14ac:dyDescent="0.3">
      <c r="A96" t="s">
        <v>42</v>
      </c>
      <c r="B96" t="s">
        <v>43</v>
      </c>
    </row>
    <row r="97" spans="1:2" x14ac:dyDescent="0.3">
      <c r="A97" t="s">
        <v>442</v>
      </c>
      <c r="B97" t="s">
        <v>443</v>
      </c>
    </row>
    <row r="98" spans="1:2" x14ac:dyDescent="0.3">
      <c r="A98" t="s">
        <v>34</v>
      </c>
      <c r="B98" t="s">
        <v>35</v>
      </c>
    </row>
    <row r="99" spans="1:2" x14ac:dyDescent="0.3">
      <c r="A99" t="s">
        <v>697</v>
      </c>
      <c r="B99" t="s">
        <v>698</v>
      </c>
    </row>
    <row r="100" spans="1:2" x14ac:dyDescent="0.3">
      <c r="A100" t="s">
        <v>645</v>
      </c>
      <c r="B100" t="s">
        <v>646</v>
      </c>
    </row>
    <row r="101" spans="1:2" x14ac:dyDescent="0.3">
      <c r="A101" t="s">
        <v>508</v>
      </c>
      <c r="B101" t="s">
        <v>509</v>
      </c>
    </row>
    <row r="102" spans="1:2" x14ac:dyDescent="0.3">
      <c r="A102" t="s">
        <v>259</v>
      </c>
      <c r="B102" t="s">
        <v>260</v>
      </c>
    </row>
    <row r="103" spans="1:2" x14ac:dyDescent="0.3">
      <c r="A103" t="s">
        <v>1112</v>
      </c>
      <c r="B103" t="s">
        <v>1113</v>
      </c>
    </row>
    <row r="104" spans="1:2" x14ac:dyDescent="0.3">
      <c r="A104" t="s">
        <v>199</v>
      </c>
      <c r="B104" t="s">
        <v>200</v>
      </c>
    </row>
    <row r="105" spans="1:2" x14ac:dyDescent="0.3">
      <c r="A105" t="s">
        <v>704</v>
      </c>
      <c r="B105" t="s">
        <v>705</v>
      </c>
    </row>
    <row r="106" spans="1:2" x14ac:dyDescent="0.3">
      <c r="A106" t="s">
        <v>1429</v>
      </c>
      <c r="B106" t="s">
        <v>1430</v>
      </c>
    </row>
    <row r="107" spans="1:2" x14ac:dyDescent="0.3">
      <c r="A107" t="s">
        <v>886</v>
      </c>
      <c r="B107" t="s">
        <v>887</v>
      </c>
    </row>
    <row r="108" spans="1:2" x14ac:dyDescent="0.3">
      <c r="A108" t="s">
        <v>393</v>
      </c>
      <c r="B108" t="s">
        <v>394</v>
      </c>
    </row>
    <row r="109" spans="1:2" x14ac:dyDescent="0.3">
      <c r="A109" t="s">
        <v>814</v>
      </c>
      <c r="B109" t="s">
        <v>815</v>
      </c>
    </row>
    <row r="110" spans="1:2" x14ac:dyDescent="0.3">
      <c r="A110" t="s">
        <v>907</v>
      </c>
      <c r="B110" t="s">
        <v>908</v>
      </c>
    </row>
    <row r="111" spans="1:2" x14ac:dyDescent="0.3">
      <c r="A111" t="s">
        <v>540</v>
      </c>
      <c r="B111" t="s">
        <v>541</v>
      </c>
    </row>
    <row r="112" spans="1:2" x14ac:dyDescent="0.3">
      <c r="A112" t="s">
        <v>492</v>
      </c>
      <c r="B112" t="s">
        <v>493</v>
      </c>
    </row>
    <row r="113" spans="1:2" x14ac:dyDescent="0.3">
      <c r="A113" t="s">
        <v>971</v>
      </c>
      <c r="B113" t="s">
        <v>972</v>
      </c>
    </row>
    <row r="114" spans="1:2" x14ac:dyDescent="0.3">
      <c r="A114" t="s">
        <v>143</v>
      </c>
      <c r="B114" t="s">
        <v>144</v>
      </c>
    </row>
    <row r="115" spans="1:2" x14ac:dyDescent="0.3">
      <c r="A115" t="s">
        <v>1077</v>
      </c>
      <c r="B115" t="s">
        <v>1078</v>
      </c>
    </row>
    <row r="116" spans="1:2" x14ac:dyDescent="0.3">
      <c r="A116" t="s">
        <v>471</v>
      </c>
      <c r="B116" t="s">
        <v>472</v>
      </c>
    </row>
    <row r="117" spans="1:2" x14ac:dyDescent="0.3">
      <c r="A117" t="s">
        <v>658</v>
      </c>
      <c r="B117" t="s">
        <v>659</v>
      </c>
    </row>
    <row r="118" spans="1:2" x14ac:dyDescent="0.3">
      <c r="A118" t="s">
        <v>65</v>
      </c>
      <c r="B118" t="s">
        <v>66</v>
      </c>
    </row>
    <row r="119" spans="1:2" x14ac:dyDescent="0.3">
      <c r="A119" t="s">
        <v>231</v>
      </c>
      <c r="B119" t="s">
        <v>232</v>
      </c>
    </row>
    <row r="120" spans="1:2" x14ac:dyDescent="0.3">
      <c r="A120" t="s">
        <v>168</v>
      </c>
      <c r="B120" t="s">
        <v>169</v>
      </c>
    </row>
    <row r="121" spans="1:2" x14ac:dyDescent="0.3">
      <c r="A121" t="s">
        <v>880</v>
      </c>
      <c r="B121" t="s">
        <v>881</v>
      </c>
    </row>
    <row r="122" spans="1:2" x14ac:dyDescent="0.3">
      <c r="A122" t="s">
        <v>107</v>
      </c>
      <c r="B122" t="s">
        <v>108</v>
      </c>
    </row>
    <row r="123" spans="1:2" x14ac:dyDescent="0.3">
      <c r="A123" t="s">
        <v>265</v>
      </c>
      <c r="B123" t="s">
        <v>266</v>
      </c>
    </row>
    <row r="124" spans="1:2" x14ac:dyDescent="0.3">
      <c r="A124" t="s">
        <v>1191</v>
      </c>
      <c r="B124" t="s">
        <v>1192</v>
      </c>
    </row>
    <row r="125" spans="1:2" x14ac:dyDescent="0.3">
      <c r="A125" t="s">
        <v>268</v>
      </c>
      <c r="B125" t="s">
        <v>269</v>
      </c>
    </row>
    <row r="126" spans="1:2" x14ac:dyDescent="0.3">
      <c r="A126" t="s">
        <v>707</v>
      </c>
      <c r="B126" t="s">
        <v>708</v>
      </c>
    </row>
    <row r="127" spans="1:2" x14ac:dyDescent="0.3">
      <c r="A127" t="s">
        <v>725</v>
      </c>
      <c r="B127" t="s">
        <v>726</v>
      </c>
    </row>
    <row r="128" spans="1:2" x14ac:dyDescent="0.3">
      <c r="A128" t="s">
        <v>871</v>
      </c>
      <c r="B128" t="s">
        <v>872</v>
      </c>
    </row>
    <row r="129" spans="1:2" x14ac:dyDescent="0.3">
      <c r="A129" t="s">
        <v>950</v>
      </c>
      <c r="B129" t="s">
        <v>951</v>
      </c>
    </row>
    <row r="130" spans="1:2" x14ac:dyDescent="0.3">
      <c r="A130" t="s">
        <v>113</v>
      </c>
      <c r="B130" t="s">
        <v>114</v>
      </c>
    </row>
    <row r="131" spans="1:2" x14ac:dyDescent="0.3">
      <c r="A131" t="s">
        <v>205</v>
      </c>
      <c r="B131" t="s">
        <v>206</v>
      </c>
    </row>
    <row r="132" spans="1:2" x14ac:dyDescent="0.3">
      <c r="A132" t="s">
        <v>225</v>
      </c>
      <c r="B132" t="s">
        <v>226</v>
      </c>
    </row>
    <row r="133" spans="1:2" x14ac:dyDescent="0.3">
      <c r="A133" t="s">
        <v>28</v>
      </c>
      <c r="B133" t="s">
        <v>29</v>
      </c>
    </row>
    <row r="134" spans="1:2" x14ac:dyDescent="0.3">
      <c r="A134" t="s">
        <v>619</v>
      </c>
      <c r="B134" t="s">
        <v>620</v>
      </c>
    </row>
    <row r="135" spans="1:2" x14ac:dyDescent="0.3">
      <c r="A135" t="s">
        <v>271</v>
      </c>
      <c r="B135" t="s">
        <v>272</v>
      </c>
    </row>
    <row r="136" spans="1:2" x14ac:dyDescent="0.3">
      <c r="A136" t="s">
        <v>56</v>
      </c>
      <c r="B136" t="s">
        <v>57</v>
      </c>
    </row>
    <row r="137" spans="1:2" x14ac:dyDescent="0.3">
      <c r="A137" t="s">
        <v>791</v>
      </c>
      <c r="B137" t="s">
        <v>792</v>
      </c>
    </row>
    <row r="138" spans="1:2" x14ac:dyDescent="0.3">
      <c r="A138" t="s">
        <v>778</v>
      </c>
      <c r="B138" t="s">
        <v>779</v>
      </c>
    </row>
    <row r="139" spans="1:2" x14ac:dyDescent="0.3">
      <c r="A139" t="s">
        <v>1518</v>
      </c>
      <c r="B139" t="s">
        <v>1519</v>
      </c>
    </row>
    <row r="140" spans="1:2" x14ac:dyDescent="0.3">
      <c r="A140" t="s">
        <v>580</v>
      </c>
      <c r="B140" t="s">
        <v>581</v>
      </c>
    </row>
    <row r="141" spans="1:2" x14ac:dyDescent="0.3">
      <c r="A141" t="s">
        <v>125</v>
      </c>
      <c r="B141" t="s">
        <v>126</v>
      </c>
    </row>
    <row r="142" spans="1:2" x14ac:dyDescent="0.3">
      <c r="A142" t="s">
        <v>687</v>
      </c>
      <c r="B142" t="s">
        <v>688</v>
      </c>
    </row>
    <row r="143" spans="1:2" x14ac:dyDescent="0.3">
      <c r="A143" t="s">
        <v>321</v>
      </c>
      <c r="B143" t="s">
        <v>322</v>
      </c>
    </row>
    <row r="144" spans="1:2" x14ac:dyDescent="0.3">
      <c r="A144" t="s">
        <v>868</v>
      </c>
      <c r="B144" t="s">
        <v>869</v>
      </c>
    </row>
    <row r="145" spans="1:2" x14ac:dyDescent="0.3">
      <c r="A145" t="s">
        <v>893</v>
      </c>
      <c r="B145" t="s">
        <v>894</v>
      </c>
    </row>
    <row r="146" spans="1:2" x14ac:dyDescent="0.3">
      <c r="A146" t="s">
        <v>770</v>
      </c>
      <c r="B146" t="s">
        <v>771</v>
      </c>
    </row>
    <row r="147" spans="1:2" x14ac:dyDescent="0.3">
      <c r="A147" t="s">
        <v>253</v>
      </c>
      <c r="B147" t="s">
        <v>254</v>
      </c>
    </row>
    <row r="148" spans="1:2" x14ac:dyDescent="0.3">
      <c r="A148" t="s">
        <v>475</v>
      </c>
      <c r="B148" t="s">
        <v>476</v>
      </c>
    </row>
    <row r="149" spans="1:2" x14ac:dyDescent="0.3">
      <c r="A149" t="s">
        <v>290</v>
      </c>
      <c r="B149" t="s">
        <v>291</v>
      </c>
    </row>
    <row r="150" spans="1:2" x14ac:dyDescent="0.3">
      <c r="A150" t="s">
        <v>1095</v>
      </c>
      <c r="B150" t="s">
        <v>1096</v>
      </c>
    </row>
    <row r="151" spans="1:2" x14ac:dyDescent="0.3">
      <c r="A151" t="s">
        <v>1025</v>
      </c>
      <c r="B151" t="s">
        <v>1026</v>
      </c>
    </row>
    <row r="152" spans="1:2" x14ac:dyDescent="0.3">
      <c r="A152" t="s">
        <v>593</v>
      </c>
      <c r="B152" t="s">
        <v>594</v>
      </c>
    </row>
    <row r="153" spans="1:2" x14ac:dyDescent="0.3">
      <c r="A153" t="s">
        <v>1623</v>
      </c>
      <c r="B153" t="s">
        <v>1624</v>
      </c>
    </row>
    <row r="154" spans="1:2" x14ac:dyDescent="0.3">
      <c r="A154" t="s">
        <v>1108</v>
      </c>
      <c r="B154" t="s">
        <v>1109</v>
      </c>
    </row>
    <row r="155" spans="1:2" x14ac:dyDescent="0.3">
      <c r="A155" t="s">
        <v>262</v>
      </c>
      <c r="B155" t="s">
        <v>263</v>
      </c>
    </row>
    <row r="156" spans="1:2" x14ac:dyDescent="0.3">
      <c r="A156" t="s">
        <v>327</v>
      </c>
      <c r="B156" t="s">
        <v>328</v>
      </c>
    </row>
    <row r="157" spans="1:2" x14ac:dyDescent="0.3">
      <c r="A157" t="s">
        <v>1625</v>
      </c>
      <c r="B157" t="s">
        <v>1626</v>
      </c>
    </row>
    <row r="158" spans="1:2" x14ac:dyDescent="0.3">
      <c r="A158" t="s">
        <v>315</v>
      </c>
      <c r="B158" t="s">
        <v>316</v>
      </c>
    </row>
    <row r="159" spans="1:2" x14ac:dyDescent="0.3">
      <c r="A159" t="s">
        <v>752</v>
      </c>
      <c r="B159" t="s">
        <v>753</v>
      </c>
    </row>
    <row r="160" spans="1:2" x14ac:dyDescent="0.3">
      <c r="A160" t="s">
        <v>693</v>
      </c>
      <c r="B160" t="s">
        <v>694</v>
      </c>
    </row>
    <row r="161" spans="1:2" x14ac:dyDescent="0.3">
      <c r="A161" t="s">
        <v>92</v>
      </c>
      <c r="B161" t="s">
        <v>93</v>
      </c>
    </row>
    <row r="162" spans="1:2" x14ac:dyDescent="0.3">
      <c r="A162" t="s">
        <v>607</v>
      </c>
      <c r="B162" t="s">
        <v>608</v>
      </c>
    </row>
    <row r="163" spans="1:2" x14ac:dyDescent="0.3">
      <c r="A163" t="s">
        <v>1366</v>
      </c>
      <c r="B163" t="s">
        <v>1367</v>
      </c>
    </row>
    <row r="164" spans="1:2" x14ac:dyDescent="0.3">
      <c r="A164" t="s">
        <v>296</v>
      </c>
      <c r="B164" t="s">
        <v>297</v>
      </c>
    </row>
    <row r="165" spans="1:2" x14ac:dyDescent="0.3">
      <c r="A165" t="s">
        <v>557</v>
      </c>
      <c r="B165" t="s">
        <v>558</v>
      </c>
    </row>
    <row r="166" spans="1:2" x14ac:dyDescent="0.3">
      <c r="A166" t="s">
        <v>654</v>
      </c>
      <c r="B166" t="s">
        <v>655</v>
      </c>
    </row>
    <row r="167" spans="1:2" x14ac:dyDescent="0.3">
      <c r="A167" t="s">
        <v>568</v>
      </c>
      <c r="B167" t="s">
        <v>569</v>
      </c>
    </row>
    <row r="168" spans="1:2" x14ac:dyDescent="0.3">
      <c r="A168" t="s">
        <v>183</v>
      </c>
      <c r="B168" t="s">
        <v>184</v>
      </c>
    </row>
    <row r="169" spans="1:2" x14ac:dyDescent="0.3">
      <c r="A169" t="s">
        <v>744</v>
      </c>
      <c r="B169" t="s">
        <v>745</v>
      </c>
    </row>
    <row r="170" spans="1:2" x14ac:dyDescent="0.3">
      <c r="A170" t="s">
        <v>1324</v>
      </c>
      <c r="B170" t="s">
        <v>1325</v>
      </c>
    </row>
    <row r="171" spans="1:2" x14ac:dyDescent="0.3">
      <c r="A171" t="s">
        <v>748</v>
      </c>
      <c r="B171" t="s">
        <v>749</v>
      </c>
    </row>
    <row r="172" spans="1:2" x14ac:dyDescent="0.3">
      <c r="A172" t="s">
        <v>85</v>
      </c>
      <c r="B172" t="s">
        <v>86</v>
      </c>
    </row>
    <row r="173" spans="1:2" x14ac:dyDescent="0.3">
      <c r="A173" t="s">
        <v>411</v>
      </c>
      <c r="B173" t="s">
        <v>412</v>
      </c>
    </row>
    <row r="174" spans="1:2" x14ac:dyDescent="0.3">
      <c r="A174" t="s">
        <v>217</v>
      </c>
      <c r="B174" t="s">
        <v>218</v>
      </c>
    </row>
    <row r="175" spans="1:2" x14ac:dyDescent="0.3">
      <c r="A175" t="s">
        <v>241</v>
      </c>
      <c r="B175" t="s">
        <v>242</v>
      </c>
    </row>
    <row r="176" spans="1:2" x14ac:dyDescent="0.3">
      <c r="A176" t="s">
        <v>985</v>
      </c>
      <c r="B176" t="s">
        <v>986</v>
      </c>
    </row>
    <row r="177" spans="1:2" x14ac:dyDescent="0.3">
      <c r="A177" t="s">
        <v>157</v>
      </c>
      <c r="B177" t="s">
        <v>158</v>
      </c>
    </row>
    <row r="178" spans="1:2" x14ac:dyDescent="0.3">
      <c r="A178" t="s">
        <v>220</v>
      </c>
      <c r="B178" t="s">
        <v>221</v>
      </c>
    </row>
    <row r="179" spans="1:2" x14ac:dyDescent="0.3">
      <c r="A179" t="s">
        <v>286</v>
      </c>
      <c r="B179" t="s">
        <v>287</v>
      </c>
    </row>
    <row r="180" spans="1:2" x14ac:dyDescent="0.3">
      <c r="A180" t="s">
        <v>95</v>
      </c>
      <c r="B180" t="s">
        <v>96</v>
      </c>
    </row>
    <row r="181" spans="1:2" x14ac:dyDescent="0.3">
      <c r="A181" t="s">
        <v>796</v>
      </c>
      <c r="B181" t="s">
        <v>797</v>
      </c>
    </row>
    <row r="182" spans="1:2" x14ac:dyDescent="0.3">
      <c r="A182" t="s">
        <v>18</v>
      </c>
      <c r="B182" t="s">
        <v>19</v>
      </c>
    </row>
    <row r="183" spans="1:2" x14ac:dyDescent="0.3">
      <c r="A183" t="s">
        <v>396</v>
      </c>
      <c r="B183" t="s">
        <v>397</v>
      </c>
    </row>
    <row r="184" spans="1:2" x14ac:dyDescent="0.3">
      <c r="A184" t="s">
        <v>817</v>
      </c>
      <c r="B184" t="s">
        <v>818</v>
      </c>
    </row>
    <row r="185" spans="1:2" x14ac:dyDescent="0.3">
      <c r="A185" t="s">
        <v>283</v>
      </c>
      <c r="B185" t="s">
        <v>284</v>
      </c>
    </row>
    <row r="186" spans="1:2" x14ac:dyDescent="0.3">
      <c r="A186" t="s">
        <v>110</v>
      </c>
      <c r="B186" t="s">
        <v>111</v>
      </c>
    </row>
    <row r="187" spans="1:2" x14ac:dyDescent="0.3">
      <c r="A187" t="s">
        <v>244</v>
      </c>
      <c r="B187" t="s">
        <v>245</v>
      </c>
    </row>
    <row r="188" spans="1:2" x14ac:dyDescent="0.3">
      <c r="A188" t="s">
        <v>353</v>
      </c>
      <c r="B188" t="s">
        <v>354</v>
      </c>
    </row>
    <row r="189" spans="1:2" x14ac:dyDescent="0.3">
      <c r="A189" t="s">
        <v>512</v>
      </c>
      <c r="B189" t="s">
        <v>513</v>
      </c>
    </row>
    <row r="190" spans="1:2" x14ac:dyDescent="0.3">
      <c r="A190" t="s">
        <v>196</v>
      </c>
      <c r="B190" t="s">
        <v>197</v>
      </c>
    </row>
    <row r="191" spans="1:2" x14ac:dyDescent="0.3">
      <c r="A191" t="s">
        <v>81</v>
      </c>
      <c r="B191" t="s">
        <v>82</v>
      </c>
    </row>
    <row r="192" spans="1:2" x14ac:dyDescent="0.3">
      <c r="A192" t="s">
        <v>171</v>
      </c>
      <c r="B192" t="s">
        <v>172</v>
      </c>
    </row>
    <row r="193" spans="1:2" x14ac:dyDescent="0.3">
      <c r="A193" t="s">
        <v>425</v>
      </c>
      <c r="B193" t="s">
        <v>426</v>
      </c>
    </row>
    <row r="194" spans="1:2" x14ac:dyDescent="0.3">
      <c r="A194" t="s">
        <v>1279</v>
      </c>
      <c r="B194" t="s">
        <v>1280</v>
      </c>
    </row>
    <row r="195" spans="1:2" x14ac:dyDescent="0.3">
      <c r="A195" t="s">
        <v>467</v>
      </c>
      <c r="B195" t="s">
        <v>468</v>
      </c>
    </row>
    <row r="196" spans="1:2" x14ac:dyDescent="0.3">
      <c r="A196" t="s">
        <v>627</v>
      </c>
      <c r="B196" t="s">
        <v>628</v>
      </c>
    </row>
    <row r="197" spans="1:2" x14ac:dyDescent="0.3">
      <c r="A197" t="s">
        <v>478</v>
      </c>
      <c r="B197" t="s">
        <v>479</v>
      </c>
    </row>
    <row r="198" spans="1:2" x14ac:dyDescent="0.3">
      <c r="A198" t="s">
        <v>174</v>
      </c>
      <c r="B198" t="s">
        <v>175</v>
      </c>
    </row>
    <row r="199" spans="1:2" x14ac:dyDescent="0.3">
      <c r="A199" t="s">
        <v>1136</v>
      </c>
      <c r="B199" t="s">
        <v>1137</v>
      </c>
    </row>
    <row r="200" spans="1:2" x14ac:dyDescent="0.3">
      <c r="A200" t="s">
        <v>137</v>
      </c>
      <c r="B200" t="s">
        <v>138</v>
      </c>
    </row>
    <row r="201" spans="1:2" x14ac:dyDescent="0.3">
      <c r="A201" t="s">
        <v>1036</v>
      </c>
      <c r="B201" t="s">
        <v>1037</v>
      </c>
    </row>
    <row r="202" spans="1:2" x14ac:dyDescent="0.3">
      <c r="A202" t="s">
        <v>439</v>
      </c>
      <c r="B202" t="s">
        <v>440</v>
      </c>
    </row>
    <row r="203" spans="1:2" x14ac:dyDescent="0.3">
      <c r="A203" t="s">
        <v>1197</v>
      </c>
      <c r="B203" t="s">
        <v>1198</v>
      </c>
    </row>
    <row r="204" spans="1:2" x14ac:dyDescent="0.3">
      <c r="A204" t="s">
        <v>76</v>
      </c>
      <c r="B204" t="s">
        <v>77</v>
      </c>
    </row>
    <row r="205" spans="1:2" x14ac:dyDescent="0.3">
      <c r="A205" t="s">
        <v>146</v>
      </c>
      <c r="B205" t="s">
        <v>147</v>
      </c>
    </row>
    <row r="206" spans="1:2" x14ac:dyDescent="0.3">
      <c r="A206" t="s">
        <v>484</v>
      </c>
      <c r="B206" t="s">
        <v>485</v>
      </c>
    </row>
    <row r="207" spans="1:2" x14ac:dyDescent="0.3">
      <c r="A207" t="s">
        <v>481</v>
      </c>
      <c r="B207" t="s">
        <v>482</v>
      </c>
    </row>
    <row r="208" spans="1:2" x14ac:dyDescent="0.3">
      <c r="A208" t="s">
        <v>51</v>
      </c>
      <c r="B208" t="s">
        <v>52</v>
      </c>
    </row>
    <row r="209" spans="1:2" x14ac:dyDescent="0.3">
      <c r="A209" t="s">
        <v>763</v>
      </c>
      <c r="B209" t="s">
        <v>764</v>
      </c>
    </row>
    <row r="210" spans="1:2" x14ac:dyDescent="0.3">
      <c r="A210" t="s">
        <v>642</v>
      </c>
      <c r="B210" t="s">
        <v>643</v>
      </c>
    </row>
    <row r="211" spans="1:2" x14ac:dyDescent="0.3">
      <c r="A211" t="s">
        <v>406</v>
      </c>
      <c r="B211" t="s">
        <v>407</v>
      </c>
    </row>
    <row r="212" spans="1:2" x14ac:dyDescent="0.3">
      <c r="A212" t="s">
        <v>1487</v>
      </c>
      <c r="B212" t="s">
        <v>1488</v>
      </c>
    </row>
    <row r="213" spans="1:2" x14ac:dyDescent="0.3">
      <c r="A213" t="s">
        <v>1442</v>
      </c>
      <c r="B213" t="s">
        <v>1443</v>
      </c>
    </row>
    <row r="214" spans="1:2" x14ac:dyDescent="0.3">
      <c r="A214" t="s">
        <v>874</v>
      </c>
      <c r="B214" t="s">
        <v>875</v>
      </c>
    </row>
    <row r="215" spans="1:2" x14ac:dyDescent="0.3">
      <c r="A215" t="s">
        <v>193</v>
      </c>
      <c r="B215" t="s">
        <v>194</v>
      </c>
    </row>
    <row r="216" spans="1:2" x14ac:dyDescent="0.3">
      <c r="A216" t="s">
        <v>133</v>
      </c>
      <c r="B216" t="s">
        <v>134</v>
      </c>
    </row>
    <row r="217" spans="1:2" x14ac:dyDescent="0.3">
      <c r="A217" t="s">
        <v>336</v>
      </c>
      <c r="B217" t="s">
        <v>337</v>
      </c>
    </row>
    <row r="218" spans="1:2" x14ac:dyDescent="0.3">
      <c r="A218" t="s">
        <v>736</v>
      </c>
      <c r="B218" t="s">
        <v>737</v>
      </c>
    </row>
    <row r="219" spans="1:2" x14ac:dyDescent="0.3">
      <c r="A219" t="s">
        <v>536</v>
      </c>
      <c r="B219" t="s">
        <v>537</v>
      </c>
    </row>
    <row r="220" spans="1:2" x14ac:dyDescent="0.3">
      <c r="A220" t="s">
        <v>550</v>
      </c>
      <c r="B220" t="s">
        <v>551</v>
      </c>
    </row>
    <row r="221" spans="1:2" x14ac:dyDescent="0.3">
      <c r="A221" t="s">
        <v>521</v>
      </c>
      <c r="B221" t="s">
        <v>522</v>
      </c>
    </row>
    <row r="222" spans="1:2" x14ac:dyDescent="0.3">
      <c r="A222" t="s">
        <v>234</v>
      </c>
      <c r="B222" t="s">
        <v>235</v>
      </c>
    </row>
    <row r="223" spans="1:2" x14ac:dyDescent="0.3">
      <c r="A223" t="s">
        <v>415</v>
      </c>
      <c r="B223" t="s">
        <v>416</v>
      </c>
    </row>
    <row r="224" spans="1:2" x14ac:dyDescent="0.3">
      <c r="A224" t="s">
        <v>304</v>
      </c>
      <c r="B224" t="s">
        <v>305</v>
      </c>
    </row>
    <row r="225" spans="1:2" x14ac:dyDescent="0.3">
      <c r="A225" t="s">
        <v>577</v>
      </c>
      <c r="B225" t="s">
        <v>578</v>
      </c>
    </row>
    <row r="226" spans="1:2" x14ac:dyDescent="0.3">
      <c r="A226" t="s">
        <v>165</v>
      </c>
      <c r="B226" t="s">
        <v>166</v>
      </c>
    </row>
    <row r="227" spans="1:2" x14ac:dyDescent="0.3">
      <c r="A227" t="s">
        <v>372</v>
      </c>
      <c r="B227" t="s">
        <v>373</v>
      </c>
    </row>
    <row r="228" spans="1:2" x14ac:dyDescent="0.3">
      <c r="A228" t="s">
        <v>719</v>
      </c>
      <c r="B228" t="s">
        <v>720</v>
      </c>
    </row>
    <row r="229" spans="1:2" x14ac:dyDescent="0.3">
      <c r="A229" t="s">
        <v>561</v>
      </c>
      <c r="B229" t="s">
        <v>562</v>
      </c>
    </row>
    <row r="230" spans="1:2" x14ac:dyDescent="0.3">
      <c r="A230" t="s">
        <v>293</v>
      </c>
      <c r="B230" t="s">
        <v>294</v>
      </c>
    </row>
    <row r="231" spans="1:2" x14ac:dyDescent="0.3">
      <c r="A231" t="s">
        <v>456</v>
      </c>
      <c r="B231" t="s">
        <v>457</v>
      </c>
    </row>
    <row r="232" spans="1:2" x14ac:dyDescent="0.3">
      <c r="A232" t="s">
        <v>505</v>
      </c>
      <c r="B232" t="s">
        <v>506</v>
      </c>
    </row>
    <row r="233" spans="1:2" x14ac:dyDescent="0.3">
      <c r="A233" t="s">
        <v>121</v>
      </c>
      <c r="B233" t="s">
        <v>122</v>
      </c>
    </row>
    <row r="234" spans="1:2" x14ac:dyDescent="0.3">
      <c r="A234" t="s">
        <v>186</v>
      </c>
      <c r="B234" t="s">
        <v>187</v>
      </c>
    </row>
    <row r="235" spans="1:2" x14ac:dyDescent="0.3">
      <c r="A235" t="s">
        <v>421</v>
      </c>
      <c r="B235" t="s">
        <v>422</v>
      </c>
    </row>
    <row r="236" spans="1:2" x14ac:dyDescent="0.3">
      <c r="A236" t="s">
        <v>247</v>
      </c>
      <c r="B236" t="s">
        <v>248</v>
      </c>
    </row>
    <row r="237" spans="1:2" x14ac:dyDescent="0.3">
      <c r="A237" t="s">
        <v>98</v>
      </c>
      <c r="B237" t="s">
        <v>99</v>
      </c>
    </row>
    <row r="238" spans="1:2" x14ac:dyDescent="0.3">
      <c r="A238" t="s">
        <v>212</v>
      </c>
      <c r="B238" t="s">
        <v>213</v>
      </c>
    </row>
    <row r="239" spans="1:2" x14ac:dyDescent="0.3">
      <c r="A239" t="s">
        <v>600</v>
      </c>
      <c r="B239" t="s">
        <v>601</v>
      </c>
    </row>
    <row r="240" spans="1:2" x14ac:dyDescent="0.3">
      <c r="A240" t="s">
        <v>402</v>
      </c>
      <c r="B240" t="s">
        <v>403</v>
      </c>
    </row>
    <row r="241" spans="1:2" x14ac:dyDescent="0.3">
      <c r="A241" t="s">
        <v>461</v>
      </c>
      <c r="B241" t="s">
        <v>462</v>
      </c>
    </row>
    <row r="242" spans="1:2" x14ac:dyDescent="0.3">
      <c r="A242" t="s">
        <v>190</v>
      </c>
      <c r="B242" t="s">
        <v>191</v>
      </c>
    </row>
    <row r="243" spans="1:2" x14ac:dyDescent="0.3">
      <c r="A243" t="s">
        <v>716</v>
      </c>
      <c r="B243" t="s">
        <v>717</v>
      </c>
    </row>
    <row r="244" spans="1:2" x14ac:dyDescent="0.3">
      <c r="A244" t="s">
        <v>675</v>
      </c>
      <c r="B244" t="s">
        <v>676</v>
      </c>
    </row>
    <row r="245" spans="1:2" x14ac:dyDescent="0.3">
      <c r="A245" t="s">
        <v>547</v>
      </c>
      <c r="B245" t="s">
        <v>548</v>
      </c>
    </row>
    <row r="246" spans="1:2" x14ac:dyDescent="0.3">
      <c r="A246" t="s">
        <v>803</v>
      </c>
      <c r="B246" t="s">
        <v>804</v>
      </c>
    </row>
    <row r="247" spans="1:2" x14ac:dyDescent="0.3">
      <c r="A247" t="s">
        <v>834</v>
      </c>
      <c r="B247" t="s">
        <v>835</v>
      </c>
    </row>
    <row r="248" spans="1:2" x14ac:dyDescent="0.3">
      <c r="A248" t="s">
        <v>129</v>
      </c>
      <c r="B248" t="s">
        <v>130</v>
      </c>
    </row>
    <row r="249" spans="1:2" x14ac:dyDescent="0.3">
      <c r="A249" t="s">
        <v>1125</v>
      </c>
      <c r="B249" t="s">
        <v>1126</v>
      </c>
    </row>
    <row r="250" spans="1:2" x14ac:dyDescent="0.3">
      <c r="A250" t="s">
        <v>300</v>
      </c>
      <c r="B250" t="s">
        <v>301</v>
      </c>
    </row>
    <row r="251" spans="1:2" x14ac:dyDescent="0.3">
      <c r="A251" t="s">
        <v>356</v>
      </c>
      <c r="B251" t="s">
        <v>357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Tables</vt:lpstr>
      <vt:lpstr>Sales Dashboard</vt:lpstr>
      <vt:lpstr>Sales_Data</vt:lpstr>
      <vt:lpstr>Practice_Questions</vt:lpstr>
      <vt:lpstr>Helper_Data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window</cp:lastModifiedBy>
  <dcterms:created xsi:type="dcterms:W3CDTF">2026-08-29T10:30:45Z</dcterms:created>
  <dcterms:modified xsi:type="dcterms:W3CDTF">2026-09-08T12:41:18Z</dcterms:modified>
</cp:coreProperties>
</file>