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ndow\Downloads\Telegram Desktop\"/>
    </mc:Choice>
  </mc:AlternateContent>
  <xr:revisionPtr revIDLastSave="0" documentId="13_ncr:1_{E5D37AE5-F642-486D-8B26-02FB2DDE9CF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ders" sheetId="1" r:id="rId1"/>
    <sheet name="Descriptive Statistics" sheetId="3" r:id="rId2"/>
    <sheet name="Weekday Analysis" sheetId="4" r:id="rId3"/>
    <sheet name="Monthly Analysis" sheetId="5" r:id="rId4"/>
    <sheet name="Executive Report" sheetId="6" r:id="rId5"/>
  </sheets>
  <externalReferences>
    <externalReference r:id="rId6"/>
  </externalReferences>
  <definedNames>
    <definedName name="_xlnm._FilterDatabase" localSheetId="0" hidden="1">orders!$A$1:$C$359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D5" i="6"/>
  <c r="G5" i="6"/>
  <c r="J5" i="6"/>
  <c r="H5" i="5"/>
  <c r="H6" i="5"/>
  <c r="H7" i="5"/>
  <c r="H8" i="5"/>
  <c r="H9" i="5"/>
  <c r="H10" i="5"/>
  <c r="H11" i="5"/>
  <c r="H12" i="5"/>
  <c r="H13" i="5"/>
  <c r="H14" i="5"/>
  <c r="H15" i="5"/>
  <c r="H4" i="5"/>
  <c r="F7" i="4"/>
  <c r="F5" i="4"/>
  <c r="F6" i="4"/>
  <c r="F8" i="4"/>
  <c r="F9" i="4"/>
  <c r="F10" i="4"/>
  <c r="F4" i="4"/>
  <c r="D13" i="3"/>
  <c r="D11" i="3"/>
  <c r="D10" i="3"/>
  <c r="D9" i="3"/>
  <c r="D8" i="3"/>
  <c r="D7" i="3"/>
  <c r="D6" i="3"/>
  <c r="D5" i="3"/>
  <c r="D4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2" i="1"/>
  <c r="D1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4A6E71-A98E-42E4-8147-E520C33A895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<sst xmlns="http://schemas.openxmlformats.org/spreadsheetml/2006/main" count="463" uniqueCount="92">
  <si>
    <t>Date</t>
  </si>
  <si>
    <t>Pizzas</t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</si>
  <si>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</si>
  <si>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</si>
  <si>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</si>
  <si>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</si>
  <si>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</si>
  <si>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</si>
  <si>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</si>
  <si>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</si>
  <si>
    <t>Mode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</si>
  <si>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</si>
  <si>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</si>
  <si>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</si>
  <si>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</si>
  <si>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</si>
  <si>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</si>
  <si>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</si>
  <si>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</si>
  <si>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</si>
  <si>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</si>
  <si>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</si>
  <si>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</si>
  <si>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</si>
  <si>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</si>
  <si>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</si>
  <si>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ABC Pizza Company — Descriptive Statistics</t>
  </si>
  <si>
    <t>Metric</t>
  </si>
  <si>
    <t>Result</t>
  </si>
  <si>
    <t>Observations</t>
  </si>
  <si>
    <t>Total pizzas sold</t>
  </si>
  <si>
    <t>Median daily sales</t>
  </si>
  <si>
    <t>Standard Deviation</t>
  </si>
  <si>
    <t>Minimum</t>
  </si>
  <si>
    <t>Maximum</t>
  </si>
  <si>
    <t>Range</t>
  </si>
  <si>
    <t>Skewness</t>
  </si>
  <si>
    <t>Mean daily sales(Average)</t>
  </si>
  <si>
    <t>Interpretation</t>
  </si>
  <si>
    <t>Mean vs Median</t>
  </si>
  <si>
    <t>The mean is slightly above the median, indicating a small upward pull from higher-sales days.</t>
  </si>
  <si>
    <t>Variability</t>
  </si>
  <si>
    <t>Standard deviation measures how widely daily pizza sales move around the average.</t>
  </si>
  <si>
    <t>Outliers</t>
  </si>
  <si>
    <t>The maximum of 266 pizzas is substantially above the normal daily level and should be investigated for events/promotions.</t>
  </si>
  <si>
    <t>Total Pizzas</t>
  </si>
  <si>
    <t>Average Pizzas</t>
  </si>
  <si>
    <t>% of Total</t>
  </si>
  <si>
    <t>Weekday insight</t>
  </si>
  <si>
    <t xml:space="preserve">Finding </t>
  </si>
  <si>
    <t>Friday has the highest average daily pizza sales in the year.</t>
  </si>
  <si>
    <t>Sunday has the lowest average daily pizza sales in the year.</t>
  </si>
  <si>
    <t>Sunday မှာ Order က သာမာန်ပဲဆိုပင်မဲ့ Pizzas အရေအတွက်သိသိသာသာ ကျဆင်းသွားပါတယ် အရင်ရှေ့ရက်တွေက Demand များခဲ့တော့ ingredient တွေ မလုံလောက်တာ ဖြစ်နိုင်ပါတယ်</t>
  </si>
  <si>
    <t>Action</t>
  </si>
  <si>
    <t>Month</t>
  </si>
  <si>
    <t>Average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</si>
  <si>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</si>
  <si>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</si>
  <si>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</si>
  <si>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</si>
  <si>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</si>
  <si>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</si>
  <si>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</si>
  <si>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</si>
  <si>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</si>
  <si>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</si>
  <si>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</si>
  <si>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Min of Pizzas</t>
  </si>
  <si>
    <t>Monthly observations</t>
  </si>
  <si>
    <t>Finding</t>
  </si>
  <si>
    <t>December သည် 131 pizzas/day ဖြင့် ပျမ်းမျှရောင်းအားအနိမ့်ဆုံးလဖြစ်ပြီး Inventory နှင့် Promotion များကို ပိုမိုကောင်းမွန်စွာ စီမံသင့်ပါတယ်</t>
  </si>
  <si>
    <t>November တွင် 266 pizzas ဖြင့် တစ်ရက်တာအမြင့်ဆုံးရောင်းအားကို ရရှိခဲ့သည် အဲ့တာကြောင့် Peak Days များအတွက် ကြိုတင် Capacity Planning ပြုလုပ်သင့်ပါတယ်</t>
  </si>
  <si>
    <r>
      <t>July သည် 4,392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pizzas ဖြင့် စုစုပေါင်းရောင်းအားအမြင့်ဆုံးလဖြစ်ပြီး Demand အကောင်းဆုံးကာလဖြစ်ပါတယ်</t>
    </r>
  </si>
  <si>
    <t>သောကြာနေ့လို့နေတွေ့မှာ ဝန်ဆောင်မှု လိုအပ်ချက်အများဆုံးဖြစ်မဲ့ အချိန်တွေအတွက် Staff အင်အားနဲ့ ingredient များကို စီစဥ်ထားသင့်ပါတယ်. ထိုအတူ Sunday မှာလဲ ingredient ပျက်လက်မှု မရှိအောင် ​ကြိုတင်စီမံထားသင့်ပါတယ်</t>
  </si>
  <si>
    <t>ABC PIZZA COMPANY — 2015 DAILY SALES ANALYSIS</t>
  </si>
  <si>
    <t>Daily Average</t>
  </si>
  <si>
    <t>Median</t>
  </si>
  <si>
    <t>Std. Deviation</t>
  </si>
  <si>
    <t>1. သူတို့လုပ်ငန်းအနေနဲ့ နေ့စဉ် ပီဇာအရောင်းဘယ်လောက်ရနိုင်လဲ?</t>
  </si>
  <si>
    <t>2. အရောင်းတွေ ဘယ်လောက်အထိ ပြောင်းလဲသွားနိုင်လဲ?</t>
  </si>
  <si>
    <r>
      <t xml:space="preserve">ဒါကြောင့် ဆိုင်အနေနဲ့ ပုံမှန်နေ့အတွက်ပဲ ပြင်ဆင်ထားတာထက် အရောင်းတက်တဲ့နေ့တွေအတွက်ပါ </t>
    </r>
    <r>
      <rPr>
        <b/>
        <sz val="11"/>
        <color theme="1"/>
        <rFont val="Calibri"/>
        <family val="2"/>
        <scheme val="minor"/>
      </rPr>
      <t>အပိုကုန်ကြမ်းနဲ့ ဝန်ထမ်းအင်အား</t>
    </r>
    <r>
      <rPr>
        <sz val="11"/>
        <color theme="1"/>
        <rFont val="Calibri"/>
        <family val="2"/>
        <scheme val="minor"/>
      </rPr>
      <t xml:space="preserve"> အသင့်ထားတာ ပိုကောင်းပါတယ်။</t>
    </r>
  </si>
  <si>
    <t>3. တစ်ပတ်အတွင်း ဘယ်နေ့တွေမှာ အရောင်းတက်လေ့ရှိလဲ?</t>
  </si>
  <si>
    <r>
      <t xml:space="preserve">Weekday တွေကို နှိုင်းယှဉ်ကြည့်တဲ့အခါ </t>
    </r>
    <r>
      <rPr>
        <b/>
        <sz val="11"/>
        <color theme="1"/>
        <rFont val="Calibri"/>
        <family val="2"/>
        <scheme val="minor"/>
      </rPr>
      <t>Friday</t>
    </r>
    <r>
      <rPr>
        <sz val="11"/>
        <color theme="1"/>
        <rFont val="Calibri"/>
        <family val="2"/>
        <scheme val="minor"/>
      </rPr>
      <t xml:space="preserve"> မှာ ပျမ်းမျှအရောင်းအများဆုံး ဖြစ်ပြီး </t>
    </r>
    <r>
      <rPr>
        <b/>
        <sz val="11"/>
        <color theme="1"/>
        <rFont val="Calibri"/>
        <family val="2"/>
        <scheme val="minor"/>
      </rPr>
      <t>Sunday</t>
    </r>
    <r>
      <rPr>
        <sz val="11"/>
        <color theme="1"/>
        <rFont val="Calibri"/>
        <family val="2"/>
        <scheme val="minor"/>
      </rPr>
      <t xml:space="preserve"> မှာ အနည်းဆုံး ဖြစ်ပါတယ်။ ဒါကြောင့် Friday မတိုင်ခင်မှာ Ingredients တွေကို ပိုပြီးကြိုတင်ပြင်ဆင်ထားနိုင်ပါတယ်။</t>
    </r>
  </si>
  <si>
    <r>
      <t xml:space="preserve">Data အရ တစ်နေ့ကို ပျမ်းမျှ </t>
    </r>
    <r>
      <rPr>
        <b/>
        <sz val="11"/>
        <color theme="1"/>
        <rFont val="Calibri"/>
        <family val="2"/>
        <scheme val="minor"/>
      </rPr>
      <t>138 pizzas လောက်</t>
    </r>
    <r>
      <rPr>
        <sz val="11"/>
        <color theme="1"/>
        <rFont val="Calibri"/>
        <family val="2"/>
        <scheme val="minor"/>
      </rPr>
      <t xml:space="preserve"> ရောင်းရပါတယ်။ Median က </t>
    </r>
    <r>
      <rPr>
        <b/>
        <sz val="11"/>
        <color theme="1"/>
        <rFont val="Calibri"/>
        <family val="2"/>
        <scheme val="minor"/>
      </rPr>
      <t>136 pizzas</t>
    </r>
    <r>
      <rPr>
        <sz val="11"/>
        <color theme="1"/>
        <rFont val="Calibri"/>
        <family val="2"/>
        <scheme val="minor"/>
      </rPr>
      <t xml:space="preserve"> ဖြစ်တာကြောင့် ပုံမှန်နေ့တွေမှာလည်း 130 ကျော်ဝန်းကျင် ရောင်းရတာများပါတယ်။</t>
    </r>
  </si>
  <si>
    <t xml:space="preserve"> ဒါကြောင့် လုပ်ငန်းအနေနဲ့ နေ့စဉ်ထုတ်လုပ်မယ့် Pizza အရေအတွက်နဲ့ ကုန်ကြမ်းလိုအပ်ချက်တွေကို 138 pizzas/day ကို အခြေခံပြီး စီမံနိုင်ပါတယ်။</t>
  </si>
  <si>
    <r>
      <t xml:space="preserve">နေ့တိုင်း အရောင်းပမာဏက တူညီမနေပါဘူး။ ဒီ Data ထဲမှာ အနိမ့်ဆုံးနေ့က </t>
    </r>
    <r>
      <rPr>
        <b/>
        <sz val="11"/>
        <color theme="1"/>
        <rFont val="Calibri"/>
        <family val="2"/>
        <scheme val="minor"/>
      </rPr>
      <t>80 pizzas</t>
    </r>
    <r>
      <rPr>
        <sz val="11"/>
        <color theme="1"/>
        <rFont val="Calibri"/>
        <family val="2"/>
        <scheme val="minor"/>
      </rPr>
      <t xml:space="preserve"> ပဲ ရောင်းရပေမယ့် အမြင့်ဆုံးနေ့မှာ </t>
    </r>
    <r>
      <rPr>
        <b/>
        <sz val="11"/>
        <color theme="1"/>
        <rFont val="Calibri"/>
        <family val="2"/>
        <scheme val="minor"/>
      </rPr>
      <t>266 pizzas</t>
    </r>
    <r>
      <rPr>
        <sz val="11"/>
        <color theme="1"/>
        <rFont val="Calibri"/>
        <family val="2"/>
        <scheme val="minor"/>
      </rPr>
      <t xml:space="preserve"> အထိ ရောင်းရပါတယ်။ </t>
    </r>
  </si>
  <si>
    <t>standard Deviation က 24.43 pizzas ဖြစ်တာကြောင့် ပုံမှန်ထက် အရောင်းအတက်အကျ ရှိတယ်လို့ ပြောနိုင်ပါတယ်။</t>
  </si>
  <si>
    <t>ပျမ်းမျှဝယ်လိုအားအပြင် Peak Demand အတွက် အပို Buffer ထည့်သွင်း၍ Safety Stock Level သတ်မှတ်ထားသင့်ပါတယ်</t>
  </si>
  <si>
    <r>
      <t xml:space="preserve">နေ့တိုင်း Stock နဲ့ Staff ကို အတူတူထားတာထက် </t>
    </r>
    <r>
      <rPr>
        <b/>
        <sz val="11"/>
        <color theme="1"/>
        <rFont val="Calibri"/>
        <family val="2"/>
        <scheme val="minor"/>
      </rPr>
      <t>High-demand days / Low-demand days</t>
    </r>
    <r>
      <rPr>
        <sz val="11"/>
        <color theme="1"/>
        <rFont val="Calibri"/>
        <family val="2"/>
        <scheme val="minor"/>
      </rPr>
      <t xml:space="preserve"> ခွဲပြီး စီမံတာ ပိုထိရောက်နိုင်ပါတယ်</t>
    </r>
  </si>
  <si>
    <t>December မှာ Inventory အများကြီးထားမိရင် မရောင်းရဘဲ ကျန်နိုင်တဲ့အတွက် Stock ကို Demand နဲ့ကိုက်အောင် လျှော့ချပြီး Promotion လုပ်တာမျိုး စဉ်းစားနိုင်ပါတယ်</t>
  </si>
  <si>
    <t>July မှာ Demand ပိုကောင်းတဲ့အတွက် အဲဒီကာလမှာ ကုန်ကြမ်းနဲ့ ဝန်ထမ်းအင်အားကို ပုံမှန်ထက် နည်းနည်းပိုပြင်ဆင်ထားသင့်ပါတယ်</t>
  </si>
  <si>
    <t>Business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</si>
</sst>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mmmm"/>
    <numFmt numFmtId="166" formatCode="0.0"/>
    <numFmt numFmtId="167" formatCode="0.0%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2"/>
      <color theme="1"/>
      <name val="Calibri"/>
      <family val="2"/>
      <scheme val="minor"/>
    </font>
    <font>
      <b/>
      <sz val="11"/>
      <name val="Carlito"/>
    </font>
    <font>
      <b/>
      <sz val="20"/>
      <color rgb="FFFFFFFF"/>
      <name val="Carlito"/>
    </font>
    <font>
      <b/>
      <sz val="13.5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7324D"/>
      </patternFill>
    </fill>
    <fill>
      <patternFill patternType="solid">
        <fgColor rgb="FF2A7F9E"/>
      </patternFill>
    </fill>
    <fill>
      <patternFill patternType="solid">
        <fgColor rgb="FFF8FAFC"/>
      </patternFill>
    </fill>
    <fill>
      <patternFill patternType="solid">
        <fgColor rgb="FFE3A637"/>
      </patternFill>
    </fill>
    <fill>
      <patternFill patternType="solid">
        <fgColor rgb="FFEAF3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16" fillId="33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0" fillId="35" borderId="0" xfId="0" applyFont="1" applyFill="1"/>
    <xf numFmtId="0" fontId="21" fillId="35" borderId="0" xfId="0" applyFont="1" applyFill="1"/>
    <xf numFmtId="0" fontId="22" fillId="36" borderId="0" xfId="0" applyFont="1" applyFill="1"/>
    <xf numFmtId="3" fontId="22" fillId="36" borderId="0" xfId="0" applyNumberFormat="1" applyFont="1" applyFill="1"/>
    <xf numFmtId="2" fontId="22" fillId="36" borderId="0" xfId="0" applyNumberFormat="1" applyFont="1" applyFill="1"/>
    <xf numFmtId="2" fontId="22" fillId="0" borderId="0" xfId="0" applyNumberFormat="1" applyFont="1"/>
    <xf numFmtId="0" fontId="23" fillId="38" borderId="0" xfId="0" applyFont="1" applyFill="1" applyAlignment="1">
      <alignment wrapText="1"/>
    </xf>
    <xf numFmtId="0" fontId="23" fillId="38" borderId="0" xfId="0" applyFont="1" applyFill="1" applyAlignment="1">
      <alignment horizontal="left" vertical="center" wrapText="1"/>
    </xf>
    <xf numFmtId="0" fontId="22" fillId="0" borderId="0" xfId="0" applyFont="1"/>
    <xf numFmtId="1" fontId="22" fillId="0" borderId="0" xfId="0" applyNumberFormat="1" applyFont="1"/>
    <xf numFmtId="167" fontId="22" fillId="0" borderId="0" xfId="0" applyNumberFormat="1" applyFont="1"/>
    <xf numFmtId="0" fontId="22" fillId="39" borderId="0" xfId="0" applyFont="1" applyFill="1"/>
    <xf numFmtId="167" fontId="22" fillId="39" borderId="0" xfId="0" applyNumberFormat="1" applyFont="1" applyFill="1"/>
    <xf numFmtId="0" fontId="22" fillId="40" borderId="0" xfId="0" applyFont="1" applyFill="1"/>
    <xf numFmtId="1" fontId="22" fillId="40" borderId="0" xfId="0" applyNumberFormat="1" applyFont="1" applyFill="1"/>
    <xf numFmtId="0" fontId="16" fillId="0" borderId="0" xfId="0" applyFont="1"/>
    <xf numFmtId="0" fontId="16" fillId="41" borderId="0" xfId="0" applyFont="1" applyFill="1"/>
    <xf numFmtId="10" fontId="16" fillId="0" borderId="0" xfId="0" applyNumberFormat="1" applyFont="1"/>
    <xf numFmtId="166" fontId="16" fillId="0" borderId="0" xfId="0" applyNumberFormat="1" applyFont="1"/>
    <xf numFmtId="166" fontId="16" fillId="42" borderId="0" xfId="0" applyNumberFormat="1" applyFont="1" applyFill="1"/>
    <xf numFmtId="0" fontId="16" fillId="43" borderId="0" xfId="0" applyFont="1" applyFill="1"/>
    <xf numFmtId="166" fontId="16" fillId="44" borderId="0" xfId="0" applyNumberFormat="1" applyFont="1" applyFill="1"/>
    <xf numFmtId="0" fontId="25" fillId="39" borderId="0" xfId="0" applyFont="1" applyFill="1" applyAlignment="1">
      <alignment vertical="center"/>
    </xf>
    <xf numFmtId="0" fontId="0" fillId="39" borderId="0" xfId="0" applyFill="1"/>
    <xf numFmtId="0" fontId="0" fillId="0" borderId="0" xfId="0" applyAlignment="1">
      <alignment horizontal="center" vertical="center"/>
    </xf>
    <xf numFmtId="0" fontId="19" fillId="34" borderId="0" xfId="0" applyFont="1" applyFill="1" applyAlignment="1">
      <alignment horizontal="center"/>
    </xf>
    <xf numFmtId="0" fontId="20" fillId="37" borderId="0" xfId="0" applyFont="1" applyFill="1"/>
    <xf numFmtId="0" fontId="0" fillId="0" borderId="0" xfId="0" applyAlignment="1">
      <alignment wrapText="1"/>
    </xf>
    <xf numFmtId="0" fontId="13" fillId="45" borderId="0" xfId="0" applyFont="1" applyFill="1" applyAlignment="1">
      <alignment horizontal="center"/>
    </xf>
    <xf numFmtId="0" fontId="24" fillId="34" borderId="0" xfId="0" applyFont="1" applyFill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6" fillId="0" borderId="10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yyyy\-mm\-dd;@"/>
    </dxf>
    <dxf>
      <numFmt numFmtId="164" formatCode="yyyy\-mm\-dd;@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Monthly Pizza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Observations</c:v>
          </c:tx>
          <c:marker>
            <c:symbol val="none"/>
          </c:marker>
          <c:cat>
            <c:strRef>
              <c:f>'[1]Monthly Analysis'!$A$2:$A$13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'[1]Monthly Analysis'!$B$2:$B$13</c:f>
              <c:numCache>
                <c:formatCode>General</c:formatCode>
                <c:ptCount val="12"/>
                <c:pt idx="0">
                  <c:v>31</c:v>
                </c:pt>
                <c:pt idx="1">
                  <c:v>28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28</c:v>
                </c:pt>
                <c:pt idx="9">
                  <c:v>27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BF-4A40-9F05-84C8330B6C22}"/>
            </c:ext>
          </c:extLst>
        </c:ser>
        <c:ser>
          <c:idx val="1"/>
          <c:order val="1"/>
          <c:tx>
            <c:v>Total Pizzas</c:v>
          </c:tx>
          <c:marker>
            <c:symbol val="none"/>
          </c:marker>
          <c:cat>
            <c:strRef>
              <c:f>'[1]Monthly Analysis'!$A$2:$A$13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'[1]Monthly Analysis'!$C$2:$C$13</c:f>
              <c:numCache>
                <c:formatCode>General</c:formatCode>
                <c:ptCount val="12"/>
                <c:pt idx="0">
                  <c:v>4232</c:v>
                </c:pt>
                <c:pt idx="1">
                  <c:v>3961</c:v>
                </c:pt>
                <c:pt idx="2">
                  <c:v>4261</c:v>
                </c:pt>
                <c:pt idx="3">
                  <c:v>4151</c:v>
                </c:pt>
                <c:pt idx="4">
                  <c:v>4328</c:v>
                </c:pt>
                <c:pt idx="5">
                  <c:v>4107</c:v>
                </c:pt>
                <c:pt idx="6">
                  <c:v>4392</c:v>
                </c:pt>
                <c:pt idx="7">
                  <c:v>4168</c:v>
                </c:pt>
                <c:pt idx="8">
                  <c:v>3890</c:v>
                </c:pt>
                <c:pt idx="9">
                  <c:v>3883</c:v>
                </c:pt>
                <c:pt idx="10">
                  <c:v>4266</c:v>
                </c:pt>
                <c:pt idx="11">
                  <c:v>3935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BF-4A40-9F05-84C8330B6C22}"/>
            </c:ext>
          </c:extLst>
        </c:ser>
        <c:ser>
          <c:idx val="2"/>
          <c:order val="2"/>
          <c:tx>
            <c:v>Average</c:v>
          </c:tx>
          <c:marker>
            <c:symbol val="none"/>
          </c:marker>
          <c:cat>
            <c:strRef>
              <c:f>'[1]Monthly Analysis'!$A$2:$A$13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'[1]Monthly Analysis'!$D$2:$D$13</c:f>
              <c:numCache>
                <c:formatCode>General</c:formatCode>
                <c:ptCount val="12"/>
                <c:pt idx="0">
                  <c:v>136.51612903225808</c:v>
                </c:pt>
                <c:pt idx="1">
                  <c:v>141.46428571428572</c:v>
                </c:pt>
                <c:pt idx="2">
                  <c:v>137.45161290322579</c:v>
                </c:pt>
                <c:pt idx="3">
                  <c:v>138.36666666666667</c:v>
                </c:pt>
                <c:pt idx="4">
                  <c:v>139.61290322580646</c:v>
                </c:pt>
                <c:pt idx="5">
                  <c:v>136.9</c:v>
                </c:pt>
                <c:pt idx="6">
                  <c:v>141.67741935483872</c:v>
                </c:pt>
                <c:pt idx="7">
                  <c:v>134.45161290322579</c:v>
                </c:pt>
                <c:pt idx="8">
                  <c:v>138.92857142857142</c:v>
                </c:pt>
                <c:pt idx="9">
                  <c:v>143.81481481481481</c:v>
                </c:pt>
                <c:pt idx="10">
                  <c:v>142.19999999999999</c:v>
                </c:pt>
                <c:pt idx="11">
                  <c:v>131.16666666666666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9BF-4A40-9F05-84C8330B6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Average Pizza Sales by Weekday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Observations</c:v>
          </c:tx>
          <c:invertIfNegative val="1"/>
          <c:cat>
            <c:strRef>
              <c:f>'[1]Weekday Analysis'!$A$2:$A$8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'[1]Weekday Analysis'!$B$2:$B$8</c:f>
              <c:numCache>
                <c:formatCode>General</c:formatCode>
                <c:ptCount val="7"/>
                <c:pt idx="0">
                  <c:v>48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50</c:v>
                </c:pt>
                <c:pt idx="5">
                  <c:v>52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D-4ECA-A783-073D8D57E793}"/>
            </c:ext>
          </c:extLst>
        </c:ser>
        <c:ser>
          <c:idx val="1"/>
          <c:order val="1"/>
          <c:tx>
            <c:v>Total Pizzas</c:v>
          </c:tx>
          <c:invertIfNegative val="1"/>
          <c:cat>
            <c:strRef>
              <c:f>'[1]Weekday Analysis'!$A$2:$A$8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'[1]Weekday Analysis'!$C$2:$C$8</c:f>
              <c:numCache>
                <c:formatCode>General</c:formatCode>
                <c:ptCount val="7"/>
                <c:pt idx="0">
                  <c:v>6485</c:v>
                </c:pt>
                <c:pt idx="1">
                  <c:v>6895</c:v>
                </c:pt>
                <c:pt idx="2">
                  <c:v>6946</c:v>
                </c:pt>
                <c:pt idx="3">
                  <c:v>7478</c:v>
                </c:pt>
                <c:pt idx="4">
                  <c:v>8242</c:v>
                </c:pt>
                <c:pt idx="5">
                  <c:v>7493</c:v>
                </c:pt>
                <c:pt idx="6">
                  <c:v>6035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D-4ECA-A783-073D8D57E793}"/>
            </c:ext>
          </c:extLst>
        </c:ser>
        <c:ser>
          <c:idx val="2"/>
          <c:order val="2"/>
          <c:tx>
            <c:v>Average Pizzas</c:v>
          </c:tx>
          <c:invertIfNegative val="1"/>
          <c:cat>
            <c:strRef>
              <c:f>'[1]Weekday Analysis'!$A$2:$A$8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'[1]Weekday Analysis'!$D$2:$D$8</c:f>
              <c:numCache>
                <c:formatCode>General</c:formatCode>
                <c:ptCount val="7"/>
                <c:pt idx="0">
                  <c:v>135.10416666666666</c:v>
                </c:pt>
                <c:pt idx="1">
                  <c:v>132.59615384615384</c:v>
                </c:pt>
                <c:pt idx="2">
                  <c:v>133.57692307692307</c:v>
                </c:pt>
                <c:pt idx="3">
                  <c:v>143.80769230769232</c:v>
                </c:pt>
                <c:pt idx="4">
                  <c:v>164.84</c:v>
                </c:pt>
                <c:pt idx="5">
                  <c:v>144.09615384615384</c:v>
                </c:pt>
                <c:pt idx="6">
                  <c:v>116.05769230769231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D-4ECA-A783-073D8D57E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10</xdr:col>
      <xdr:colOff>76200</xdr:colOff>
      <xdr:row>22</xdr:row>
      <xdr:rowOff>60960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B1EA8D5C-B942-4803-80D2-23EEBB195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7</xdr:row>
      <xdr:rowOff>0</xdr:rowOff>
    </xdr:from>
    <xdr:to>
      <xdr:col>21</xdr:col>
      <xdr:colOff>228600</xdr:colOff>
      <xdr:row>22</xdr:row>
      <xdr:rowOff>60960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BAF9EBEB-739F-40C5-9AF1-80AFB5408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\Downloads\ABC_Pizza_Descriptive_Statistics_Report.xlsx" TargetMode="External"/><Relationship Id="rId1" Type="http://schemas.openxmlformats.org/officeDocument/2006/relationships/externalLinkPath" Target="/Users/window/Downloads/ABC_Pizza_Descriptive_Statistic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ecutive Report"/>
      <sheetName val="Raw Data"/>
      <sheetName val="Descriptive Stats"/>
      <sheetName val="Weekday Analysis"/>
      <sheetName val="Monthly Analysis"/>
    </sheetNames>
    <sheetDataSet>
      <sheetData sheetId="0"/>
      <sheetData sheetId="1"/>
      <sheetData sheetId="2"/>
      <sheetData sheetId="3">
        <row r="2">
          <cell r="A2" t="str">
            <v>Monday</v>
          </cell>
          <cell r="B2">
            <v>48</v>
          </cell>
          <cell r="C2">
            <v>6485</v>
          </cell>
          <cell r="D2">
            <v>135.10416666666666</v>
          </cell>
        </row>
        <row r="3">
          <cell r="A3" t="str">
            <v>Tuesday</v>
          </cell>
          <cell r="B3">
            <v>52</v>
          </cell>
          <cell r="C3">
            <v>6895</v>
          </cell>
          <cell r="D3">
            <v>132.59615384615384</v>
          </cell>
        </row>
        <row r="4">
          <cell r="A4" t="str">
            <v>Wednesday</v>
          </cell>
          <cell r="B4">
            <v>52</v>
          </cell>
          <cell r="C4">
            <v>6946</v>
          </cell>
          <cell r="D4">
            <v>133.57692307692307</v>
          </cell>
        </row>
        <row r="5">
          <cell r="A5" t="str">
            <v>Thursday</v>
          </cell>
          <cell r="B5">
            <v>52</v>
          </cell>
          <cell r="C5">
            <v>7478</v>
          </cell>
          <cell r="D5">
            <v>143.80769230769232</v>
          </cell>
        </row>
        <row r="6">
          <cell r="A6" t="str">
            <v>Friday</v>
          </cell>
          <cell r="B6">
            <v>50</v>
          </cell>
          <cell r="C6">
            <v>8242</v>
          </cell>
          <cell r="D6">
            <v>164.84</v>
          </cell>
        </row>
        <row r="7">
          <cell r="A7" t="str">
            <v>Saturday</v>
          </cell>
          <cell r="B7">
            <v>52</v>
          </cell>
          <cell r="C7">
            <v>7493</v>
          </cell>
          <cell r="D7">
            <v>144.09615384615384</v>
          </cell>
        </row>
        <row r="8">
          <cell r="A8" t="str">
            <v>Sunday</v>
          </cell>
          <cell r="B8">
            <v>52</v>
          </cell>
          <cell r="C8">
            <v>6035</v>
          </cell>
          <cell r="D8">
            <v>116.05769230769231</v>
          </cell>
        </row>
      </sheetData>
      <sheetData sheetId="4">
        <row r="2">
          <cell r="A2" t="str">
            <v>January</v>
          </cell>
          <cell r="B2">
            <v>31</v>
          </cell>
          <cell r="C2">
            <v>4232</v>
          </cell>
          <cell r="D2">
            <v>136.51612903225808</v>
          </cell>
        </row>
        <row r="3">
          <cell r="A3" t="str">
            <v>February</v>
          </cell>
          <cell r="B3">
            <v>28</v>
          </cell>
          <cell r="C3">
            <v>3961</v>
          </cell>
          <cell r="D3">
            <v>141.46428571428572</v>
          </cell>
        </row>
        <row r="4">
          <cell r="A4" t="str">
            <v>March</v>
          </cell>
          <cell r="B4">
            <v>31</v>
          </cell>
          <cell r="C4">
            <v>4261</v>
          </cell>
          <cell r="D4">
            <v>137.45161290322579</v>
          </cell>
        </row>
        <row r="5">
          <cell r="A5" t="str">
            <v>April</v>
          </cell>
          <cell r="B5">
            <v>30</v>
          </cell>
          <cell r="C5">
            <v>4151</v>
          </cell>
          <cell r="D5">
            <v>138.36666666666667</v>
          </cell>
        </row>
        <row r="6">
          <cell r="A6" t="str">
            <v>May</v>
          </cell>
          <cell r="B6">
            <v>31</v>
          </cell>
          <cell r="C6">
            <v>4328</v>
          </cell>
          <cell r="D6">
            <v>139.61290322580646</v>
          </cell>
        </row>
        <row r="7">
          <cell r="A7" t="str">
            <v>June</v>
          </cell>
          <cell r="B7">
            <v>30</v>
          </cell>
          <cell r="C7">
            <v>4107</v>
          </cell>
          <cell r="D7">
            <v>136.9</v>
          </cell>
        </row>
        <row r="8">
          <cell r="A8" t="str">
            <v>July</v>
          </cell>
          <cell r="B8">
            <v>31</v>
          </cell>
          <cell r="C8">
            <v>4392</v>
          </cell>
          <cell r="D8">
            <v>141.67741935483872</v>
          </cell>
        </row>
        <row r="9">
          <cell r="A9" t="str">
            <v>August</v>
          </cell>
          <cell r="B9">
            <v>31</v>
          </cell>
          <cell r="C9">
            <v>4168</v>
          </cell>
          <cell r="D9">
            <v>134.45161290322579</v>
          </cell>
        </row>
        <row r="10">
          <cell r="A10" t="str">
            <v>September</v>
          </cell>
          <cell r="B10">
            <v>28</v>
          </cell>
          <cell r="C10">
            <v>3890</v>
          </cell>
          <cell r="D10">
            <v>138.92857142857142</v>
          </cell>
        </row>
        <row r="11">
          <cell r="A11" t="str">
            <v>October</v>
          </cell>
          <cell r="B11">
            <v>27</v>
          </cell>
          <cell r="C11">
            <v>3883</v>
          </cell>
          <cell r="D11">
            <v>143.81481481481481</v>
          </cell>
        </row>
        <row r="12">
          <cell r="A12" t="str">
            <v>November</v>
          </cell>
          <cell r="B12">
            <v>30</v>
          </cell>
          <cell r="C12">
            <v>4266</v>
          </cell>
          <cell r="D12">
            <v>142.19999999999999</v>
          </cell>
        </row>
        <row r="13">
          <cell r="A13" t="str">
            <v>December</v>
          </cell>
          <cell r="B13">
            <v>30</v>
          </cell>
          <cell r="C13">
            <v>3935</v>
          </cell>
          <cell r="D13">
            <v>131.16666666666666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" refreshedDate="46275.939754050924" createdVersion="8" refreshedVersion="8" minRefreshableVersion="3" recordCount="358" xr:uid="{46844D78-609A-4ADC-BA16-96788AFDD5C0}">
  <cacheSource type="worksheet">
    <worksheetSource name="Table1"/>
  </cacheSource>
  <cacheFields count="5">
    <cacheField name="Date" numFmtId="164">
      <sharedItems containsSemiMixedTypes="0" containsNonDate="0" containsDate="1" containsString="0" minDate="2015-01-01T00:00:00" maxDate="2016-01-01T00:00:00" count="358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6T00:00:00"/>
        <d v="2015-10-07T00:00:00"/>
        <d v="2015-10-08T00:00:00"/>
        <d v="2015-10-09T00:00:00"/>
        <d v="2015-10-10T00:00:00"/>
        <d v="2015-10-11T00:00:00"/>
        <d v="2015-10-13T00:00:00"/>
        <d v="2015-10-14T00:00:00"/>
        <d v="2015-10-15T00:00:00"/>
        <d v="2015-10-16T00:00:00"/>
        <d v="2015-10-17T00:00:00"/>
        <d v="2015-10-18T00:00:00"/>
        <d v="2015-10-20T00:00:00"/>
        <d v="2015-10-21T00:00:00"/>
        <d v="2015-10-22T00:00:00"/>
        <d v="2015-10-23T00:00:00"/>
        <d v="2015-10-24T00:00:00"/>
        <d v="2015-10-25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</sharedItems>
    </cacheField>
    <cacheField name="Weekday" numFmtId="164">
      <sharedItems count="7">
        <s v="Thursday"/>
        <s v="Friday"/>
        <s v="Saturday"/>
        <s v="Sunday"/>
        <s v="Monday"/>
        <s v="Tuesday"/>
        <s v="Wednesday"/>
      </sharedItems>
    </cacheField>
    <cacheField name="Pizzas" numFmtId="0">
      <sharedItems containsSemiMixedTypes="0" containsString="0" containsNumber="1" containsInteger="1" minValue="77" maxValue="266"/>
    </cacheField>
    <cacheField name="Months" numFmtId="165">
      <sharedItems containsSemiMixedTypes="0" containsNonDate="0" containsDate="1" containsString="0" minDate="2015-01-01T00:00:00" maxDate="2016-01-01T00:00:00" count="358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6T00:00:00"/>
        <d v="2015-10-07T00:00:00"/>
        <d v="2015-10-08T00:00:00"/>
        <d v="2015-10-09T00:00:00"/>
        <d v="2015-10-10T00:00:00"/>
        <d v="2015-10-11T00:00:00"/>
        <d v="2015-10-13T00:00:00"/>
        <d v="2015-10-14T00:00:00"/>
        <d v="2015-10-15T00:00:00"/>
        <d v="2015-10-16T00:00:00"/>
        <d v="2015-10-17T00:00:00"/>
        <d v="2015-10-18T00:00:00"/>
        <d v="2015-10-20T00:00:00"/>
        <d v="2015-10-21T00:00:00"/>
        <d v="2015-10-22T00:00:00"/>
        <d v="2015-10-23T00:00:00"/>
        <d v="2015-10-24T00:00:00"/>
        <d v="2015-10-25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6T00:00:00"/>
        <d v="2015-12-27T00:00:00"/>
        <d v="2015-12-28T00:00:00"/>
        <d v="2015-12-29T00:00:00"/>
        <d v="2015-12-30T00:00:00"/>
        <d v="2015-12-31T00:00:00"/>
      </sharedItems>
      <fieldGroup par="4" base="3">
        <rangePr groupBy="days" startDate="2015-01-01T00:00:00" endDate="2016-01-01T00:00:00"/>
        <groupItems count="368">
          <s v="&lt;1/1/201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16"/>
        </groupItems>
      </fieldGroup>
    </cacheField>
    <cacheField name="Months2" numFmtId="0" databaseField="0">
      <fieldGroup base="3">
        <rangePr groupBy="months" startDate="2015-01-01T00:00:00" endDate="2016-01-01T00:00:00"/>
        <groupItems count="14">
          <s v="&lt;1/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x v="0"/>
    <x v="0"/>
    <n v="162"/>
    <x v="0"/>
  </r>
  <r>
    <x v="1"/>
    <x v="1"/>
    <n v="165"/>
    <x v="1"/>
  </r>
  <r>
    <x v="2"/>
    <x v="2"/>
    <n v="158"/>
    <x v="2"/>
  </r>
  <r>
    <x v="3"/>
    <x v="3"/>
    <n v="106"/>
    <x v="3"/>
  </r>
  <r>
    <x v="4"/>
    <x v="4"/>
    <n v="125"/>
    <x v="4"/>
  </r>
  <r>
    <x v="5"/>
    <x v="5"/>
    <n v="147"/>
    <x v="5"/>
  </r>
  <r>
    <x v="6"/>
    <x v="6"/>
    <n v="138"/>
    <x v="6"/>
  </r>
  <r>
    <x v="7"/>
    <x v="0"/>
    <n v="173"/>
    <x v="7"/>
  </r>
  <r>
    <x v="8"/>
    <x v="1"/>
    <n v="127"/>
    <x v="8"/>
  </r>
  <r>
    <x v="9"/>
    <x v="2"/>
    <n v="146"/>
    <x v="9"/>
  </r>
  <r>
    <x v="10"/>
    <x v="3"/>
    <n v="116"/>
    <x v="10"/>
  </r>
  <r>
    <x v="11"/>
    <x v="4"/>
    <n v="119"/>
    <x v="11"/>
  </r>
  <r>
    <x v="12"/>
    <x v="5"/>
    <n v="120"/>
    <x v="12"/>
  </r>
  <r>
    <x v="13"/>
    <x v="6"/>
    <n v="150"/>
    <x v="13"/>
  </r>
  <r>
    <x v="14"/>
    <x v="0"/>
    <n v="123"/>
    <x v="14"/>
  </r>
  <r>
    <x v="15"/>
    <x v="1"/>
    <n v="158"/>
    <x v="15"/>
  </r>
  <r>
    <x v="16"/>
    <x v="2"/>
    <n v="125"/>
    <x v="16"/>
  </r>
  <r>
    <x v="17"/>
    <x v="3"/>
    <n v="122"/>
    <x v="17"/>
  </r>
  <r>
    <x v="18"/>
    <x v="4"/>
    <n v="142"/>
    <x v="18"/>
  </r>
  <r>
    <x v="19"/>
    <x v="5"/>
    <n v="143"/>
    <x v="19"/>
  </r>
  <r>
    <x v="20"/>
    <x v="6"/>
    <n v="129"/>
    <x v="20"/>
  </r>
  <r>
    <x v="21"/>
    <x v="0"/>
    <n v="158"/>
    <x v="21"/>
  </r>
  <r>
    <x v="22"/>
    <x v="1"/>
    <n v="152"/>
    <x v="22"/>
  </r>
  <r>
    <x v="23"/>
    <x v="2"/>
    <n v="142"/>
    <x v="23"/>
  </r>
  <r>
    <x v="24"/>
    <x v="3"/>
    <n v="102"/>
    <x v="24"/>
  </r>
  <r>
    <x v="25"/>
    <x v="4"/>
    <n v="113"/>
    <x v="25"/>
  </r>
  <r>
    <x v="26"/>
    <x v="5"/>
    <n v="151"/>
    <x v="26"/>
  </r>
  <r>
    <x v="27"/>
    <x v="6"/>
    <n v="118"/>
    <x v="27"/>
  </r>
  <r>
    <x v="28"/>
    <x v="0"/>
    <n v="119"/>
    <x v="28"/>
  </r>
  <r>
    <x v="29"/>
    <x v="1"/>
    <n v="138"/>
    <x v="29"/>
  </r>
  <r>
    <x v="30"/>
    <x v="2"/>
    <n v="145"/>
    <x v="30"/>
  </r>
  <r>
    <x v="31"/>
    <x v="3"/>
    <n v="191"/>
    <x v="31"/>
  </r>
  <r>
    <x v="32"/>
    <x v="4"/>
    <n v="145"/>
    <x v="32"/>
  </r>
  <r>
    <x v="33"/>
    <x v="5"/>
    <n v="159"/>
    <x v="33"/>
  </r>
  <r>
    <x v="34"/>
    <x v="6"/>
    <n v="138"/>
    <x v="34"/>
  </r>
  <r>
    <x v="35"/>
    <x v="0"/>
    <n v="133"/>
    <x v="35"/>
  </r>
  <r>
    <x v="36"/>
    <x v="1"/>
    <n v="153"/>
    <x v="36"/>
  </r>
  <r>
    <x v="37"/>
    <x v="2"/>
    <n v="136"/>
    <x v="37"/>
  </r>
  <r>
    <x v="38"/>
    <x v="3"/>
    <n v="124"/>
    <x v="38"/>
  </r>
  <r>
    <x v="39"/>
    <x v="4"/>
    <n v="136"/>
    <x v="39"/>
  </r>
  <r>
    <x v="40"/>
    <x v="5"/>
    <n v="124"/>
    <x v="40"/>
  </r>
  <r>
    <x v="41"/>
    <x v="6"/>
    <n v="155"/>
    <x v="41"/>
  </r>
  <r>
    <x v="42"/>
    <x v="0"/>
    <n v="130"/>
    <x v="42"/>
  </r>
  <r>
    <x v="43"/>
    <x v="1"/>
    <n v="163"/>
    <x v="43"/>
  </r>
  <r>
    <x v="44"/>
    <x v="2"/>
    <n v="140"/>
    <x v="44"/>
  </r>
  <r>
    <x v="45"/>
    <x v="3"/>
    <n v="128"/>
    <x v="45"/>
  </r>
  <r>
    <x v="46"/>
    <x v="4"/>
    <n v="119"/>
    <x v="46"/>
  </r>
  <r>
    <x v="47"/>
    <x v="5"/>
    <n v="129"/>
    <x v="47"/>
  </r>
  <r>
    <x v="48"/>
    <x v="6"/>
    <n v="163"/>
    <x v="48"/>
  </r>
  <r>
    <x v="49"/>
    <x v="0"/>
    <n v="123"/>
    <x v="49"/>
  </r>
  <r>
    <x v="50"/>
    <x v="1"/>
    <n v="175"/>
    <x v="50"/>
  </r>
  <r>
    <x v="51"/>
    <x v="2"/>
    <n v="127"/>
    <x v="51"/>
  </r>
  <r>
    <x v="52"/>
    <x v="3"/>
    <n v="97"/>
    <x v="52"/>
  </r>
  <r>
    <x v="53"/>
    <x v="4"/>
    <n v="128"/>
    <x v="53"/>
  </r>
  <r>
    <x v="54"/>
    <x v="5"/>
    <n v="134"/>
    <x v="54"/>
  </r>
  <r>
    <x v="55"/>
    <x v="6"/>
    <n v="144"/>
    <x v="55"/>
  </r>
  <r>
    <x v="56"/>
    <x v="0"/>
    <n v="140"/>
    <x v="56"/>
  </r>
  <r>
    <x v="57"/>
    <x v="1"/>
    <n v="173"/>
    <x v="57"/>
  </r>
  <r>
    <x v="58"/>
    <x v="2"/>
    <n v="154"/>
    <x v="58"/>
  </r>
  <r>
    <x v="59"/>
    <x v="3"/>
    <n v="99"/>
    <x v="59"/>
  </r>
  <r>
    <x v="60"/>
    <x v="4"/>
    <n v="139"/>
    <x v="60"/>
  </r>
  <r>
    <x v="61"/>
    <x v="5"/>
    <n v="137"/>
    <x v="61"/>
  </r>
  <r>
    <x v="62"/>
    <x v="6"/>
    <n v="147"/>
    <x v="62"/>
  </r>
  <r>
    <x v="63"/>
    <x v="0"/>
    <n v="142"/>
    <x v="63"/>
  </r>
  <r>
    <x v="64"/>
    <x v="1"/>
    <n v="152"/>
    <x v="64"/>
  </r>
  <r>
    <x v="65"/>
    <x v="2"/>
    <n v="144"/>
    <x v="65"/>
  </r>
  <r>
    <x v="66"/>
    <x v="3"/>
    <n v="135"/>
    <x v="66"/>
  </r>
  <r>
    <x v="67"/>
    <x v="4"/>
    <n v="138"/>
    <x v="67"/>
  </r>
  <r>
    <x v="68"/>
    <x v="5"/>
    <n v="144"/>
    <x v="68"/>
  </r>
  <r>
    <x v="69"/>
    <x v="6"/>
    <n v="134"/>
    <x v="69"/>
  </r>
  <r>
    <x v="70"/>
    <x v="0"/>
    <n v="119"/>
    <x v="70"/>
  </r>
  <r>
    <x v="71"/>
    <x v="1"/>
    <n v="176"/>
    <x v="71"/>
  </r>
  <r>
    <x v="72"/>
    <x v="2"/>
    <n v="123"/>
    <x v="72"/>
  </r>
  <r>
    <x v="73"/>
    <x v="3"/>
    <n v="131"/>
    <x v="73"/>
  </r>
  <r>
    <x v="74"/>
    <x v="4"/>
    <n v="141"/>
    <x v="74"/>
  </r>
  <r>
    <x v="75"/>
    <x v="5"/>
    <n v="179"/>
    <x v="75"/>
  </r>
  <r>
    <x v="76"/>
    <x v="6"/>
    <n v="123"/>
    <x v="76"/>
  </r>
  <r>
    <x v="77"/>
    <x v="0"/>
    <n v="144"/>
    <x v="77"/>
  </r>
  <r>
    <x v="78"/>
    <x v="1"/>
    <n v="149"/>
    <x v="78"/>
  </r>
  <r>
    <x v="79"/>
    <x v="2"/>
    <n v="136"/>
    <x v="79"/>
  </r>
  <r>
    <x v="80"/>
    <x v="3"/>
    <n v="77"/>
    <x v="80"/>
  </r>
  <r>
    <x v="81"/>
    <x v="4"/>
    <n v="135"/>
    <x v="81"/>
  </r>
  <r>
    <x v="82"/>
    <x v="5"/>
    <n v="130"/>
    <x v="82"/>
  </r>
  <r>
    <x v="83"/>
    <x v="6"/>
    <n v="115"/>
    <x v="83"/>
  </r>
  <r>
    <x v="84"/>
    <x v="0"/>
    <n v="136"/>
    <x v="84"/>
  </r>
  <r>
    <x v="85"/>
    <x v="1"/>
    <n v="167"/>
    <x v="85"/>
  </r>
  <r>
    <x v="86"/>
    <x v="2"/>
    <n v="139"/>
    <x v="86"/>
  </r>
  <r>
    <x v="87"/>
    <x v="3"/>
    <n v="132"/>
    <x v="87"/>
  </r>
  <r>
    <x v="88"/>
    <x v="4"/>
    <n v="137"/>
    <x v="88"/>
  </r>
  <r>
    <x v="89"/>
    <x v="5"/>
    <n v="161"/>
    <x v="89"/>
  </r>
  <r>
    <x v="90"/>
    <x v="6"/>
    <n v="135"/>
    <x v="90"/>
  </r>
  <r>
    <x v="91"/>
    <x v="0"/>
    <n v="150"/>
    <x v="91"/>
  </r>
  <r>
    <x v="92"/>
    <x v="1"/>
    <n v="155"/>
    <x v="92"/>
  </r>
  <r>
    <x v="93"/>
    <x v="2"/>
    <n v="170"/>
    <x v="93"/>
  </r>
  <r>
    <x v="94"/>
    <x v="3"/>
    <n v="117"/>
    <x v="94"/>
  </r>
  <r>
    <x v="95"/>
    <x v="4"/>
    <n v="157"/>
    <x v="95"/>
  </r>
  <r>
    <x v="96"/>
    <x v="5"/>
    <n v="138"/>
    <x v="96"/>
  </r>
  <r>
    <x v="97"/>
    <x v="6"/>
    <n v="136"/>
    <x v="97"/>
  </r>
  <r>
    <x v="98"/>
    <x v="0"/>
    <n v="122"/>
    <x v="98"/>
  </r>
  <r>
    <x v="99"/>
    <x v="1"/>
    <n v="142"/>
    <x v="99"/>
  </r>
  <r>
    <x v="100"/>
    <x v="2"/>
    <n v="153"/>
    <x v="100"/>
  </r>
  <r>
    <x v="101"/>
    <x v="3"/>
    <n v="120"/>
    <x v="101"/>
  </r>
  <r>
    <x v="102"/>
    <x v="4"/>
    <n v="144"/>
    <x v="102"/>
  </r>
  <r>
    <x v="103"/>
    <x v="5"/>
    <n v="146"/>
    <x v="103"/>
  </r>
  <r>
    <x v="104"/>
    <x v="6"/>
    <n v="158"/>
    <x v="104"/>
  </r>
  <r>
    <x v="105"/>
    <x v="0"/>
    <n v="126"/>
    <x v="105"/>
  </r>
  <r>
    <x v="106"/>
    <x v="1"/>
    <n v="161"/>
    <x v="106"/>
  </r>
  <r>
    <x v="107"/>
    <x v="2"/>
    <n v="137"/>
    <x v="107"/>
  </r>
  <r>
    <x v="108"/>
    <x v="3"/>
    <n v="95"/>
    <x v="108"/>
  </r>
  <r>
    <x v="109"/>
    <x v="4"/>
    <n v="151"/>
    <x v="109"/>
  </r>
  <r>
    <x v="110"/>
    <x v="5"/>
    <n v="134"/>
    <x v="110"/>
  </r>
  <r>
    <x v="111"/>
    <x v="6"/>
    <n v="134"/>
    <x v="111"/>
  </r>
  <r>
    <x v="112"/>
    <x v="0"/>
    <n v="144"/>
    <x v="112"/>
  </r>
  <r>
    <x v="113"/>
    <x v="1"/>
    <n v="175"/>
    <x v="113"/>
  </r>
  <r>
    <x v="114"/>
    <x v="2"/>
    <n v="126"/>
    <x v="114"/>
  </r>
  <r>
    <x v="115"/>
    <x v="3"/>
    <n v="111"/>
    <x v="115"/>
  </r>
  <r>
    <x v="116"/>
    <x v="4"/>
    <n v="133"/>
    <x v="116"/>
  </r>
  <r>
    <x v="117"/>
    <x v="5"/>
    <n v="107"/>
    <x v="117"/>
  </r>
  <r>
    <x v="118"/>
    <x v="6"/>
    <n v="111"/>
    <x v="118"/>
  </r>
  <r>
    <x v="119"/>
    <x v="0"/>
    <n v="163"/>
    <x v="119"/>
  </r>
  <r>
    <x v="120"/>
    <x v="1"/>
    <n v="154"/>
    <x v="120"/>
  </r>
  <r>
    <x v="121"/>
    <x v="2"/>
    <n v="152"/>
    <x v="121"/>
  </r>
  <r>
    <x v="122"/>
    <x v="3"/>
    <n v="114"/>
    <x v="122"/>
  </r>
  <r>
    <x v="123"/>
    <x v="4"/>
    <n v="141"/>
    <x v="123"/>
  </r>
  <r>
    <x v="124"/>
    <x v="5"/>
    <n v="107"/>
    <x v="124"/>
  </r>
  <r>
    <x v="125"/>
    <x v="6"/>
    <n v="140"/>
    <x v="125"/>
  </r>
  <r>
    <x v="126"/>
    <x v="0"/>
    <n v="131"/>
    <x v="126"/>
  </r>
  <r>
    <x v="127"/>
    <x v="1"/>
    <n v="181"/>
    <x v="127"/>
  </r>
  <r>
    <x v="128"/>
    <x v="2"/>
    <n v="144"/>
    <x v="128"/>
  </r>
  <r>
    <x v="129"/>
    <x v="3"/>
    <n v="141"/>
    <x v="129"/>
  </r>
  <r>
    <x v="130"/>
    <x v="4"/>
    <n v="144"/>
    <x v="130"/>
  </r>
  <r>
    <x v="131"/>
    <x v="5"/>
    <n v="142"/>
    <x v="131"/>
  </r>
  <r>
    <x v="132"/>
    <x v="6"/>
    <n v="137"/>
    <x v="132"/>
  </r>
  <r>
    <x v="133"/>
    <x v="0"/>
    <n v="164"/>
    <x v="133"/>
  </r>
  <r>
    <x v="134"/>
    <x v="1"/>
    <n v="208"/>
    <x v="134"/>
  </r>
  <r>
    <x v="135"/>
    <x v="2"/>
    <n v="142"/>
    <x v="135"/>
  </r>
  <r>
    <x v="136"/>
    <x v="3"/>
    <n v="109"/>
    <x v="136"/>
  </r>
  <r>
    <x v="137"/>
    <x v="4"/>
    <n v="134"/>
    <x v="137"/>
  </r>
  <r>
    <x v="138"/>
    <x v="5"/>
    <n v="119"/>
    <x v="138"/>
  </r>
  <r>
    <x v="139"/>
    <x v="6"/>
    <n v="141"/>
    <x v="139"/>
  </r>
  <r>
    <x v="140"/>
    <x v="0"/>
    <n v="123"/>
    <x v="140"/>
  </r>
  <r>
    <x v="141"/>
    <x v="1"/>
    <n v="154"/>
    <x v="141"/>
  </r>
  <r>
    <x v="142"/>
    <x v="2"/>
    <n v="148"/>
    <x v="142"/>
  </r>
  <r>
    <x v="143"/>
    <x v="3"/>
    <n v="134"/>
    <x v="143"/>
  </r>
  <r>
    <x v="144"/>
    <x v="4"/>
    <n v="125"/>
    <x v="144"/>
  </r>
  <r>
    <x v="145"/>
    <x v="5"/>
    <n v="115"/>
    <x v="145"/>
  </r>
  <r>
    <x v="146"/>
    <x v="6"/>
    <n v="124"/>
    <x v="146"/>
  </r>
  <r>
    <x v="147"/>
    <x v="0"/>
    <n v="121"/>
    <x v="147"/>
  </r>
  <r>
    <x v="148"/>
    <x v="1"/>
    <n v="181"/>
    <x v="148"/>
  </r>
  <r>
    <x v="149"/>
    <x v="2"/>
    <n v="150"/>
    <x v="149"/>
  </r>
  <r>
    <x v="150"/>
    <x v="3"/>
    <n v="108"/>
    <x v="150"/>
  </r>
  <r>
    <x v="151"/>
    <x v="4"/>
    <n v="184"/>
    <x v="151"/>
  </r>
  <r>
    <x v="152"/>
    <x v="5"/>
    <n v="147"/>
    <x v="152"/>
  </r>
  <r>
    <x v="153"/>
    <x v="6"/>
    <n v="113"/>
    <x v="153"/>
  </r>
  <r>
    <x v="154"/>
    <x v="0"/>
    <n v="141"/>
    <x v="154"/>
  </r>
  <r>
    <x v="155"/>
    <x v="1"/>
    <n v="159"/>
    <x v="155"/>
  </r>
  <r>
    <x v="156"/>
    <x v="2"/>
    <n v="136"/>
    <x v="156"/>
  </r>
  <r>
    <x v="157"/>
    <x v="3"/>
    <n v="117"/>
    <x v="157"/>
  </r>
  <r>
    <x v="158"/>
    <x v="4"/>
    <n v="136"/>
    <x v="158"/>
  </r>
  <r>
    <x v="159"/>
    <x v="5"/>
    <n v="147"/>
    <x v="159"/>
  </r>
  <r>
    <x v="160"/>
    <x v="6"/>
    <n v="124"/>
    <x v="160"/>
  </r>
  <r>
    <x v="161"/>
    <x v="0"/>
    <n v="158"/>
    <x v="161"/>
  </r>
  <r>
    <x v="162"/>
    <x v="1"/>
    <n v="131"/>
    <x v="162"/>
  </r>
  <r>
    <x v="163"/>
    <x v="2"/>
    <n v="153"/>
    <x v="163"/>
  </r>
  <r>
    <x v="164"/>
    <x v="3"/>
    <n v="113"/>
    <x v="164"/>
  </r>
  <r>
    <x v="165"/>
    <x v="4"/>
    <n v="152"/>
    <x v="165"/>
  </r>
  <r>
    <x v="166"/>
    <x v="5"/>
    <n v="116"/>
    <x v="166"/>
  </r>
  <r>
    <x v="167"/>
    <x v="6"/>
    <n v="126"/>
    <x v="167"/>
  </r>
  <r>
    <x v="168"/>
    <x v="0"/>
    <n v="116"/>
    <x v="168"/>
  </r>
  <r>
    <x v="169"/>
    <x v="1"/>
    <n v="167"/>
    <x v="169"/>
  </r>
  <r>
    <x v="170"/>
    <x v="2"/>
    <n v="128"/>
    <x v="170"/>
  </r>
  <r>
    <x v="171"/>
    <x v="3"/>
    <n v="115"/>
    <x v="171"/>
  </r>
  <r>
    <x v="172"/>
    <x v="4"/>
    <n v="140"/>
    <x v="172"/>
  </r>
  <r>
    <x v="173"/>
    <x v="5"/>
    <n v="124"/>
    <x v="173"/>
  </r>
  <r>
    <x v="174"/>
    <x v="6"/>
    <n v="137"/>
    <x v="174"/>
  </r>
  <r>
    <x v="175"/>
    <x v="0"/>
    <n v="148"/>
    <x v="175"/>
  </r>
  <r>
    <x v="176"/>
    <x v="1"/>
    <n v="163"/>
    <x v="176"/>
  </r>
  <r>
    <x v="177"/>
    <x v="2"/>
    <n v="173"/>
    <x v="177"/>
  </r>
  <r>
    <x v="178"/>
    <x v="3"/>
    <n v="95"/>
    <x v="178"/>
  </r>
  <r>
    <x v="179"/>
    <x v="4"/>
    <n v="118"/>
    <x v="179"/>
  </r>
  <r>
    <x v="180"/>
    <x v="5"/>
    <n v="130"/>
    <x v="180"/>
  </r>
  <r>
    <x v="181"/>
    <x v="6"/>
    <n v="137"/>
    <x v="181"/>
  </r>
  <r>
    <x v="182"/>
    <x v="0"/>
    <n v="138"/>
    <x v="182"/>
  </r>
  <r>
    <x v="183"/>
    <x v="1"/>
    <n v="213"/>
    <x v="183"/>
  </r>
  <r>
    <x v="184"/>
    <x v="2"/>
    <n v="234"/>
    <x v="184"/>
  </r>
  <r>
    <x v="185"/>
    <x v="3"/>
    <n v="96"/>
    <x v="185"/>
  </r>
  <r>
    <x v="186"/>
    <x v="4"/>
    <n v="130"/>
    <x v="186"/>
  </r>
  <r>
    <x v="187"/>
    <x v="5"/>
    <n v="142"/>
    <x v="187"/>
  </r>
  <r>
    <x v="188"/>
    <x v="6"/>
    <n v="142"/>
    <x v="188"/>
  </r>
  <r>
    <x v="189"/>
    <x v="0"/>
    <n v="135"/>
    <x v="189"/>
  </r>
  <r>
    <x v="190"/>
    <x v="1"/>
    <n v="148"/>
    <x v="190"/>
  </r>
  <r>
    <x v="191"/>
    <x v="2"/>
    <n v="125"/>
    <x v="191"/>
  </r>
  <r>
    <x v="192"/>
    <x v="3"/>
    <n v="128"/>
    <x v="192"/>
  </r>
  <r>
    <x v="193"/>
    <x v="4"/>
    <n v="124"/>
    <x v="193"/>
  </r>
  <r>
    <x v="194"/>
    <x v="5"/>
    <n v="119"/>
    <x v="194"/>
  </r>
  <r>
    <x v="195"/>
    <x v="6"/>
    <n v="154"/>
    <x v="195"/>
  </r>
  <r>
    <x v="196"/>
    <x v="0"/>
    <n v="146"/>
    <x v="196"/>
  </r>
  <r>
    <x v="197"/>
    <x v="1"/>
    <n v="187"/>
    <x v="197"/>
  </r>
  <r>
    <x v="198"/>
    <x v="2"/>
    <n v="130"/>
    <x v="198"/>
  </r>
  <r>
    <x v="199"/>
    <x v="3"/>
    <n v="121"/>
    <x v="199"/>
  </r>
  <r>
    <x v="200"/>
    <x v="4"/>
    <n v="149"/>
    <x v="200"/>
  </r>
  <r>
    <x v="201"/>
    <x v="5"/>
    <n v="119"/>
    <x v="201"/>
  </r>
  <r>
    <x v="202"/>
    <x v="6"/>
    <n v="137"/>
    <x v="202"/>
  </r>
  <r>
    <x v="203"/>
    <x v="0"/>
    <n v="137"/>
    <x v="203"/>
  </r>
  <r>
    <x v="204"/>
    <x v="1"/>
    <n v="196"/>
    <x v="204"/>
  </r>
  <r>
    <x v="205"/>
    <x v="2"/>
    <n v="135"/>
    <x v="205"/>
  </r>
  <r>
    <x v="206"/>
    <x v="3"/>
    <n v="112"/>
    <x v="206"/>
  </r>
  <r>
    <x v="207"/>
    <x v="4"/>
    <n v="129"/>
    <x v="207"/>
  </r>
  <r>
    <x v="208"/>
    <x v="5"/>
    <n v="132"/>
    <x v="208"/>
  </r>
  <r>
    <x v="209"/>
    <x v="6"/>
    <n v="116"/>
    <x v="209"/>
  </r>
  <r>
    <x v="210"/>
    <x v="0"/>
    <n v="149"/>
    <x v="210"/>
  </r>
  <r>
    <x v="211"/>
    <x v="1"/>
    <n v="132"/>
    <x v="211"/>
  </r>
  <r>
    <x v="212"/>
    <x v="2"/>
    <n v="154"/>
    <x v="212"/>
  </r>
  <r>
    <x v="213"/>
    <x v="3"/>
    <n v="114"/>
    <x v="213"/>
  </r>
  <r>
    <x v="214"/>
    <x v="4"/>
    <n v="117"/>
    <x v="214"/>
  </r>
  <r>
    <x v="215"/>
    <x v="5"/>
    <n v="122"/>
    <x v="215"/>
  </r>
  <r>
    <x v="216"/>
    <x v="6"/>
    <n v="130"/>
    <x v="216"/>
  </r>
  <r>
    <x v="217"/>
    <x v="0"/>
    <n v="132"/>
    <x v="217"/>
  </r>
  <r>
    <x v="218"/>
    <x v="1"/>
    <n v="161"/>
    <x v="218"/>
  </r>
  <r>
    <x v="219"/>
    <x v="2"/>
    <n v="167"/>
    <x v="219"/>
  </r>
  <r>
    <x v="220"/>
    <x v="3"/>
    <n v="126"/>
    <x v="220"/>
  </r>
  <r>
    <x v="221"/>
    <x v="4"/>
    <n v="125"/>
    <x v="221"/>
  </r>
  <r>
    <x v="222"/>
    <x v="5"/>
    <n v="137"/>
    <x v="222"/>
  </r>
  <r>
    <x v="223"/>
    <x v="6"/>
    <n v="144"/>
    <x v="223"/>
  </r>
  <r>
    <x v="224"/>
    <x v="0"/>
    <n v="132"/>
    <x v="224"/>
  </r>
  <r>
    <x v="225"/>
    <x v="1"/>
    <n v="188"/>
    <x v="225"/>
  </r>
  <r>
    <x v="226"/>
    <x v="2"/>
    <n v="140"/>
    <x v="226"/>
  </r>
  <r>
    <x v="227"/>
    <x v="3"/>
    <n v="128"/>
    <x v="227"/>
  </r>
  <r>
    <x v="228"/>
    <x v="4"/>
    <n v="161"/>
    <x v="228"/>
  </r>
  <r>
    <x v="229"/>
    <x v="5"/>
    <n v="128"/>
    <x v="229"/>
  </r>
  <r>
    <x v="230"/>
    <x v="6"/>
    <n v="138"/>
    <x v="230"/>
  </r>
  <r>
    <x v="231"/>
    <x v="0"/>
    <n v="116"/>
    <x v="231"/>
  </r>
  <r>
    <x v="232"/>
    <x v="1"/>
    <n v="163"/>
    <x v="232"/>
  </r>
  <r>
    <x v="233"/>
    <x v="2"/>
    <n v="148"/>
    <x v="233"/>
  </r>
  <r>
    <x v="234"/>
    <x v="3"/>
    <n v="105"/>
    <x v="234"/>
  </r>
  <r>
    <x v="235"/>
    <x v="4"/>
    <n v="106"/>
    <x v="235"/>
  </r>
  <r>
    <x v="236"/>
    <x v="5"/>
    <n v="115"/>
    <x v="236"/>
  </r>
  <r>
    <x v="237"/>
    <x v="6"/>
    <n v="139"/>
    <x v="237"/>
  </r>
  <r>
    <x v="238"/>
    <x v="0"/>
    <n v="128"/>
    <x v="238"/>
  </r>
  <r>
    <x v="239"/>
    <x v="1"/>
    <n v="161"/>
    <x v="239"/>
  </r>
  <r>
    <x v="240"/>
    <x v="2"/>
    <n v="123"/>
    <x v="240"/>
  </r>
  <r>
    <x v="241"/>
    <x v="3"/>
    <n v="94"/>
    <x v="241"/>
  </r>
  <r>
    <x v="242"/>
    <x v="4"/>
    <n v="126"/>
    <x v="242"/>
  </r>
  <r>
    <x v="243"/>
    <x v="5"/>
    <n v="146"/>
    <x v="243"/>
  </r>
  <r>
    <x v="244"/>
    <x v="6"/>
    <n v="111"/>
    <x v="244"/>
  </r>
  <r>
    <x v="245"/>
    <x v="0"/>
    <n v="138"/>
    <x v="245"/>
  </r>
  <r>
    <x v="246"/>
    <x v="1"/>
    <n v="179"/>
    <x v="246"/>
  </r>
  <r>
    <x v="247"/>
    <x v="2"/>
    <n v="153"/>
    <x v="247"/>
  </r>
  <r>
    <x v="248"/>
    <x v="3"/>
    <n v="92"/>
    <x v="248"/>
  </r>
  <r>
    <x v="249"/>
    <x v="4"/>
    <n v="140"/>
    <x v="249"/>
  </r>
  <r>
    <x v="250"/>
    <x v="5"/>
    <n v="133"/>
    <x v="250"/>
  </r>
  <r>
    <x v="251"/>
    <x v="6"/>
    <n v="157"/>
    <x v="251"/>
  </r>
  <r>
    <x v="252"/>
    <x v="0"/>
    <n v="148"/>
    <x v="252"/>
  </r>
  <r>
    <x v="253"/>
    <x v="1"/>
    <n v="167"/>
    <x v="253"/>
  </r>
  <r>
    <x v="254"/>
    <x v="2"/>
    <n v="156"/>
    <x v="254"/>
  </r>
  <r>
    <x v="255"/>
    <x v="3"/>
    <n v="108"/>
    <x v="255"/>
  </r>
  <r>
    <x v="256"/>
    <x v="4"/>
    <n v="129"/>
    <x v="256"/>
  </r>
  <r>
    <x v="257"/>
    <x v="5"/>
    <n v="158"/>
    <x v="257"/>
  </r>
  <r>
    <x v="258"/>
    <x v="6"/>
    <n v="136"/>
    <x v="258"/>
  </r>
  <r>
    <x v="259"/>
    <x v="0"/>
    <n v="138"/>
    <x v="259"/>
  </r>
  <r>
    <x v="260"/>
    <x v="1"/>
    <n v="164"/>
    <x v="260"/>
  </r>
  <r>
    <x v="261"/>
    <x v="2"/>
    <n v="141"/>
    <x v="261"/>
  </r>
  <r>
    <x v="262"/>
    <x v="3"/>
    <n v="108"/>
    <x v="262"/>
  </r>
  <r>
    <x v="263"/>
    <x v="4"/>
    <n v="132"/>
    <x v="263"/>
  </r>
  <r>
    <x v="264"/>
    <x v="5"/>
    <n v="131"/>
    <x v="264"/>
  </r>
  <r>
    <x v="265"/>
    <x v="6"/>
    <n v="133"/>
    <x v="265"/>
  </r>
  <r>
    <x v="266"/>
    <x v="2"/>
    <n v="139"/>
    <x v="266"/>
  </r>
  <r>
    <x v="267"/>
    <x v="3"/>
    <n v="139"/>
    <x v="267"/>
  </r>
  <r>
    <x v="268"/>
    <x v="4"/>
    <n v="121"/>
    <x v="268"/>
  </r>
  <r>
    <x v="269"/>
    <x v="5"/>
    <n v="163"/>
    <x v="269"/>
  </r>
  <r>
    <x v="270"/>
    <x v="6"/>
    <n v="130"/>
    <x v="270"/>
  </r>
  <r>
    <x v="271"/>
    <x v="0"/>
    <n v="194"/>
    <x v="271"/>
  </r>
  <r>
    <x v="272"/>
    <x v="1"/>
    <n v="125"/>
    <x v="272"/>
  </r>
  <r>
    <x v="273"/>
    <x v="2"/>
    <n v="147"/>
    <x v="273"/>
  </r>
  <r>
    <x v="274"/>
    <x v="3"/>
    <n v="128"/>
    <x v="274"/>
  </r>
  <r>
    <x v="275"/>
    <x v="5"/>
    <n v="136"/>
    <x v="275"/>
  </r>
  <r>
    <x v="276"/>
    <x v="6"/>
    <n v="133"/>
    <x v="276"/>
  </r>
  <r>
    <x v="277"/>
    <x v="0"/>
    <n v="119"/>
    <x v="277"/>
  </r>
  <r>
    <x v="278"/>
    <x v="1"/>
    <n v="147"/>
    <x v="278"/>
  </r>
  <r>
    <x v="279"/>
    <x v="2"/>
    <n v="141"/>
    <x v="279"/>
  </r>
  <r>
    <x v="280"/>
    <x v="3"/>
    <n v="118"/>
    <x v="280"/>
  </r>
  <r>
    <x v="281"/>
    <x v="5"/>
    <n v="141"/>
    <x v="281"/>
  </r>
  <r>
    <x v="282"/>
    <x v="6"/>
    <n v="132"/>
    <x v="282"/>
  </r>
  <r>
    <x v="283"/>
    <x v="0"/>
    <n v="262"/>
    <x v="283"/>
  </r>
  <r>
    <x v="284"/>
    <x v="1"/>
    <n v="153"/>
    <x v="284"/>
  </r>
  <r>
    <x v="285"/>
    <x v="2"/>
    <n v="140"/>
    <x v="285"/>
  </r>
  <r>
    <x v="286"/>
    <x v="3"/>
    <n v="105"/>
    <x v="286"/>
  </r>
  <r>
    <x v="287"/>
    <x v="5"/>
    <n v="154"/>
    <x v="287"/>
  </r>
  <r>
    <x v="288"/>
    <x v="6"/>
    <n v="149"/>
    <x v="288"/>
  </r>
  <r>
    <x v="289"/>
    <x v="0"/>
    <n v="145"/>
    <x v="289"/>
  </r>
  <r>
    <x v="290"/>
    <x v="1"/>
    <n v="154"/>
    <x v="290"/>
  </r>
  <r>
    <x v="291"/>
    <x v="2"/>
    <n v="160"/>
    <x v="291"/>
  </r>
  <r>
    <x v="292"/>
    <x v="3"/>
    <n v="114"/>
    <x v="292"/>
  </r>
  <r>
    <x v="293"/>
    <x v="5"/>
    <n v="120"/>
    <x v="293"/>
  </r>
  <r>
    <x v="294"/>
    <x v="6"/>
    <n v="104"/>
    <x v="294"/>
  </r>
  <r>
    <x v="295"/>
    <x v="0"/>
    <n v="131"/>
    <x v="295"/>
  </r>
  <r>
    <x v="296"/>
    <x v="1"/>
    <n v="166"/>
    <x v="296"/>
  </r>
  <r>
    <x v="297"/>
    <x v="2"/>
    <n v="165"/>
    <x v="297"/>
  </r>
  <r>
    <x v="298"/>
    <x v="3"/>
    <n v="124"/>
    <x v="298"/>
  </r>
  <r>
    <x v="299"/>
    <x v="4"/>
    <n v="138"/>
    <x v="299"/>
  </r>
  <r>
    <x v="300"/>
    <x v="5"/>
    <n v="114"/>
    <x v="300"/>
  </r>
  <r>
    <x v="301"/>
    <x v="6"/>
    <n v="121"/>
    <x v="301"/>
  </r>
  <r>
    <x v="302"/>
    <x v="0"/>
    <n v="124"/>
    <x v="302"/>
  </r>
  <r>
    <x v="303"/>
    <x v="1"/>
    <n v="190"/>
    <x v="303"/>
  </r>
  <r>
    <x v="304"/>
    <x v="2"/>
    <n v="156"/>
    <x v="304"/>
  </r>
  <r>
    <x v="305"/>
    <x v="3"/>
    <n v="127"/>
    <x v="305"/>
  </r>
  <r>
    <x v="306"/>
    <x v="4"/>
    <n v="151"/>
    <x v="306"/>
  </r>
  <r>
    <x v="307"/>
    <x v="5"/>
    <n v="126"/>
    <x v="307"/>
  </r>
  <r>
    <x v="308"/>
    <x v="6"/>
    <n v="118"/>
    <x v="308"/>
  </r>
  <r>
    <x v="309"/>
    <x v="0"/>
    <n v="153"/>
    <x v="309"/>
  </r>
  <r>
    <x v="310"/>
    <x v="1"/>
    <n v="141"/>
    <x v="310"/>
  </r>
  <r>
    <x v="311"/>
    <x v="2"/>
    <n v="142"/>
    <x v="311"/>
  </r>
  <r>
    <x v="312"/>
    <x v="3"/>
    <n v="113"/>
    <x v="312"/>
  </r>
  <r>
    <x v="313"/>
    <x v="4"/>
    <n v="136"/>
    <x v="313"/>
  </r>
  <r>
    <x v="314"/>
    <x v="5"/>
    <n v="117"/>
    <x v="314"/>
  </r>
  <r>
    <x v="315"/>
    <x v="6"/>
    <n v="130"/>
    <x v="315"/>
  </r>
  <r>
    <x v="316"/>
    <x v="0"/>
    <n v="162"/>
    <x v="316"/>
  </r>
  <r>
    <x v="317"/>
    <x v="1"/>
    <n v="148"/>
    <x v="317"/>
  </r>
  <r>
    <x v="318"/>
    <x v="2"/>
    <n v="131"/>
    <x v="318"/>
  </r>
  <r>
    <x v="319"/>
    <x v="3"/>
    <n v="84"/>
    <x v="319"/>
  </r>
  <r>
    <x v="320"/>
    <x v="4"/>
    <n v="148"/>
    <x v="320"/>
  </r>
  <r>
    <x v="321"/>
    <x v="5"/>
    <n v="131"/>
    <x v="321"/>
  </r>
  <r>
    <x v="322"/>
    <x v="6"/>
    <n v="144"/>
    <x v="322"/>
  </r>
  <r>
    <x v="323"/>
    <x v="0"/>
    <n v="266"/>
    <x v="323"/>
  </r>
  <r>
    <x v="324"/>
    <x v="1"/>
    <n v="264"/>
    <x v="324"/>
  </r>
  <r>
    <x v="325"/>
    <x v="2"/>
    <n v="118"/>
    <x v="325"/>
  </r>
  <r>
    <x v="326"/>
    <x v="3"/>
    <n v="115"/>
    <x v="326"/>
  </r>
  <r>
    <x v="327"/>
    <x v="4"/>
    <n v="134"/>
    <x v="327"/>
  </r>
  <r>
    <x v="328"/>
    <x v="5"/>
    <n v="131"/>
    <x v="328"/>
  </r>
  <r>
    <x v="329"/>
    <x v="6"/>
    <n v="132"/>
    <x v="329"/>
  </r>
  <r>
    <x v="330"/>
    <x v="0"/>
    <n v="136"/>
    <x v="330"/>
  </r>
  <r>
    <x v="331"/>
    <x v="1"/>
    <n v="176"/>
    <x v="331"/>
  </r>
  <r>
    <x v="332"/>
    <x v="2"/>
    <n v="160"/>
    <x v="332"/>
  </r>
  <r>
    <x v="333"/>
    <x v="3"/>
    <n v="144"/>
    <x v="333"/>
  </r>
  <r>
    <x v="334"/>
    <x v="4"/>
    <n v="150"/>
    <x v="334"/>
  </r>
  <r>
    <x v="335"/>
    <x v="5"/>
    <n v="110"/>
    <x v="335"/>
  </r>
  <r>
    <x v="336"/>
    <x v="6"/>
    <n v="160"/>
    <x v="336"/>
  </r>
  <r>
    <x v="337"/>
    <x v="0"/>
    <n v="118"/>
    <x v="337"/>
  </r>
  <r>
    <x v="338"/>
    <x v="1"/>
    <n v="164"/>
    <x v="338"/>
  </r>
  <r>
    <x v="339"/>
    <x v="2"/>
    <n v="127"/>
    <x v="339"/>
  </r>
  <r>
    <x v="340"/>
    <x v="3"/>
    <n v="130"/>
    <x v="340"/>
  </r>
  <r>
    <x v="341"/>
    <x v="4"/>
    <n v="131"/>
    <x v="341"/>
  </r>
  <r>
    <x v="342"/>
    <x v="5"/>
    <n v="146"/>
    <x v="342"/>
  </r>
  <r>
    <x v="343"/>
    <x v="6"/>
    <n v="133"/>
    <x v="343"/>
  </r>
  <r>
    <x v="344"/>
    <x v="0"/>
    <n v="113"/>
    <x v="344"/>
  </r>
  <r>
    <x v="345"/>
    <x v="1"/>
    <n v="176"/>
    <x v="345"/>
  </r>
  <r>
    <x v="346"/>
    <x v="2"/>
    <n v="139"/>
    <x v="346"/>
  </r>
  <r>
    <x v="347"/>
    <x v="3"/>
    <n v="124"/>
    <x v="347"/>
  </r>
  <r>
    <x v="348"/>
    <x v="4"/>
    <n v="130"/>
    <x v="348"/>
  </r>
  <r>
    <x v="349"/>
    <x v="5"/>
    <n v="114"/>
    <x v="349"/>
  </r>
  <r>
    <x v="350"/>
    <x v="6"/>
    <n v="134"/>
    <x v="350"/>
  </r>
  <r>
    <x v="351"/>
    <x v="0"/>
    <n v="131"/>
    <x v="351"/>
  </r>
  <r>
    <x v="352"/>
    <x v="2"/>
    <n v="95"/>
    <x v="352"/>
  </r>
  <r>
    <x v="353"/>
    <x v="3"/>
    <n v="89"/>
    <x v="353"/>
  </r>
  <r>
    <x v="354"/>
    <x v="4"/>
    <n v="102"/>
    <x v="354"/>
  </r>
  <r>
    <x v="355"/>
    <x v="5"/>
    <n v="80"/>
    <x v="355"/>
  </r>
  <r>
    <x v="356"/>
    <x v="6"/>
    <n v="82"/>
    <x v="356"/>
  </r>
  <r>
    <x v="357"/>
    <x v="0"/>
    <n v="178"/>
    <x v="3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C3B74-8C01-4A30-BDD0-84D4D9B0A8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6" firstHeaderRow="1" firstDataRow="1" firstDataCol="1"/>
  <pivotFields count="5">
    <pivotField numFmtId="164" showAll="0">
      <items count="3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dataField="1" showAll="0"/>
    <pivotField axis="axisRow" numFmtId="16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in of Pizzas" fld="2" subtotal="min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42C2C-7779-45A7-A2C7-2FFFC2107A95}" name="Table1" displayName="Table1" ref="A1:D359" totalsRowShown="0" headerRowDxfId="3">
  <autoFilter ref="A1:D359" xr:uid="{DF442C2C-7779-45A7-A2C7-2FFFC2107A95}"/>
  <tableColumns count="4">
    <tableColumn id="1" xr3:uid="{688FA9F3-9732-4709-883C-5237FAB3C957}" name="Date" dataDxfId="2"/>
    <tableColumn id="2" xr3:uid="{7C927598-7FB5-4E37-AF1C-6AB69CEC5270}" name="Weekday" dataDxfId="1"/>
    <tableColumn id="3" xr3:uid="{CDEA85F5-A3C9-4F24-B661-6084C65BFF40}" name="Pizzas"/>
    <tableColumn id="4" xr3:uid="{0CBEDDB9-21BB-49BD-8AE4-1150F01F4C8D}" name="Months" dataDxfId="0">
      <calculatedColumnFormula>Table1[[#This Row],[Date]]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9"/>
  <sheetViews>
    <sheetView workbookViewId="0">
      <selection activeCell="H4" sqref="H4:H15"/>
    </sheetView>
  </sheetViews>
  <sheetFormatPr defaultRowHeight="14.4"/>
  <cols>
    <col min="1" max="2" width="12.109375" customWidth="1"/>
    <col min="4" max="4" width="10.33203125" bestFit="1" customWidth="1"/>
    <col min="5" max="5" width="18.77734375" bestFit="1" customWidth="1"/>
    <col min="7" max="7" width="12.5546875" bestFit="1" customWidth="1"/>
    <col min="8" max="8" width="11.88671875" bestFit="1" customWidth="1"/>
    <col min="9" max="9" width="12.5546875" bestFit="1" customWidth="1"/>
    <col min="10" max="10" width="12.33203125" bestFit="1" customWidth="1"/>
    <col min="11" max="11" width="5" bestFit="1" customWidth="1"/>
    <col min="12" max="12" width="12.5546875" bestFit="1" customWidth="1"/>
    <col min="13" max="13" width="12.33203125" bestFit="1" customWidth="1"/>
    <col min="14" max="16" width="5" bestFit="1" customWidth="1"/>
    <col min="17" max="17" width="12.21875" customWidth="1"/>
    <col min="18" max="18" width="14.21875" customWidth="1"/>
    <col min="19" max="21" width="5" bestFit="1" customWidth="1"/>
    <col min="22" max="22" width="10.77734375" bestFit="1" customWidth="1"/>
    <col min="23" max="40" width="6.44140625" bestFit="1" customWidth="1"/>
    <col min="41" max="41" width="8.44140625" bestFit="1" customWidth="1"/>
    <col min="42" max="42" width="6" bestFit="1" customWidth="1"/>
    <col min="43" max="50" width="5.6640625" bestFit="1" customWidth="1"/>
    <col min="51" max="69" width="6.6640625" bestFit="1" customWidth="1"/>
    <col min="70" max="70" width="8.6640625" bestFit="1" customWidth="1"/>
    <col min="71" max="71" width="6.44140625" bestFit="1" customWidth="1"/>
    <col min="72" max="79" width="6.109375" bestFit="1" customWidth="1"/>
    <col min="80" max="101" width="7.109375" bestFit="1" customWidth="1"/>
    <col min="102" max="102" width="9.109375" bestFit="1" customWidth="1"/>
    <col min="103" max="103" width="6" bestFit="1" customWidth="1"/>
    <col min="104" max="111" width="5.6640625" bestFit="1" customWidth="1"/>
    <col min="112" max="132" width="6.6640625" bestFit="1" customWidth="1"/>
    <col min="133" max="133" width="8.6640625" bestFit="1" customWidth="1"/>
    <col min="134" max="134" width="6.77734375" bestFit="1" customWidth="1"/>
    <col min="135" max="142" width="6.44140625" bestFit="1" customWidth="1"/>
    <col min="143" max="164" width="7.44140625" bestFit="1" customWidth="1"/>
    <col min="165" max="165" width="9.44140625" bestFit="1" customWidth="1"/>
    <col min="166" max="166" width="5.88671875" bestFit="1" customWidth="1"/>
    <col min="167" max="174" width="5.5546875" bestFit="1" customWidth="1"/>
    <col min="175" max="195" width="6.5546875" bestFit="1" customWidth="1"/>
    <col min="196" max="196" width="8.5546875" bestFit="1" customWidth="1"/>
    <col min="197" max="197" width="5.21875" bestFit="1" customWidth="1"/>
    <col min="198" max="205" width="4.88671875" bestFit="1" customWidth="1"/>
    <col min="206" max="227" width="5.88671875" bestFit="1" customWidth="1"/>
    <col min="228" max="228" width="7.88671875" bestFit="1" customWidth="1"/>
    <col min="229" max="229" width="6.33203125" bestFit="1" customWidth="1"/>
    <col min="230" max="237" width="6" bestFit="1" customWidth="1"/>
    <col min="238" max="259" width="7" bestFit="1" customWidth="1"/>
    <col min="260" max="260" width="9" bestFit="1" customWidth="1"/>
    <col min="261" max="261" width="6.109375" bestFit="1" customWidth="1"/>
    <col min="262" max="269" width="5.77734375" bestFit="1" customWidth="1"/>
    <col min="270" max="288" width="6.77734375" bestFit="1" customWidth="1"/>
    <col min="289" max="289" width="8.77734375" bestFit="1" customWidth="1"/>
    <col min="290" max="290" width="5.88671875" bestFit="1" customWidth="1"/>
    <col min="291" max="297" width="5.5546875" bestFit="1" customWidth="1"/>
    <col min="298" max="316" width="6.5546875" bestFit="1" customWidth="1"/>
    <col min="317" max="317" width="8.5546875" bestFit="1" customWidth="1"/>
    <col min="318" max="318" width="6.44140625" bestFit="1" customWidth="1"/>
    <col min="319" max="326" width="6.109375" bestFit="1" customWidth="1"/>
    <col min="327" max="347" width="7.109375" bestFit="1" customWidth="1"/>
    <col min="348" max="348" width="9.109375" bestFit="1" customWidth="1"/>
    <col min="349" max="349" width="6.109375" bestFit="1" customWidth="1"/>
    <col min="350" max="357" width="5.77734375" bestFit="1" customWidth="1"/>
    <col min="358" max="378" width="6.77734375" bestFit="1" customWidth="1"/>
    <col min="379" max="379" width="8.77734375" bestFit="1" customWidth="1"/>
    <col min="380" max="380" width="10.77734375" bestFit="1" customWidth="1"/>
  </cols>
  <sheetData>
    <row r="1" spans="1:8">
      <c r="A1" s="1" t="s">
        <v>0</v>
      </c>
      <c r="B1" s="1" t="s">
        <v>2</v>
      </c>
      <c r="C1" s="1" t="s">
        <v>1</v>
      </c>
      <c r="D1" s="1" t="s">
        <v>25</v>
      </c>
    </row>
    <row r="2" spans="1:8">
      <c r="A2" s="2">
        <v>42005</v>
      </c>
      <c r="B2" s="2" t="s">
        <v>6</v>
      </c>
      <c r="C2">
        <v>162</v>
      </c>
      <c r="D2" s="5">
        <f>Table1[[#This Row],[Date]]</f>
        <v>42005</v>
      </c>
    </row>
    <row r="3" spans="1:8">
      <c r="A3" s="2">
        <v>42006</v>
      </c>
      <c r="B3" s="2" t="s">
        <v>7</v>
      </c>
      <c r="C3">
        <v>165</v>
      </c>
      <c r="D3" s="5">
        <f>Table1[[#This Row],[Date]]</f>
        <v>42006</v>
      </c>
      <c r="G3" s="3" t="s">
        <v>11</v>
      </c>
      <c r="H3" t="s">
        <v>67</v>
      </c>
    </row>
    <row r="4" spans="1:8">
      <c r="A4" s="2">
        <v>42007</v>
      </c>
      <c r="B4" s="2" t="s">
        <v>8</v>
      </c>
      <c r="C4">
        <v>158</v>
      </c>
      <c r="D4" s="5">
        <f>Table1[[#This Row],[Date]]</f>
        <v>42007</v>
      </c>
      <c r="G4" s="4" t="s">
        <v>13</v>
      </c>
      <c r="H4">
        <v>102</v>
      </c>
    </row>
    <row r="5" spans="1:8">
      <c r="A5" s="2">
        <v>42008</v>
      </c>
      <c r="B5" s="2" t="s">
        <v>9</v>
      </c>
      <c r="C5">
        <v>106</v>
      </c>
      <c r="D5" s="5">
        <f>Table1[[#This Row],[Date]]</f>
        <v>42008</v>
      </c>
      <c r="G5" s="4" t="s">
        <v>14</v>
      </c>
      <c r="H5">
        <v>97</v>
      </c>
    </row>
    <row r="6" spans="1:8">
      <c r="A6" s="2">
        <v>42009</v>
      </c>
      <c r="B6" s="2" t="s">
        <v>3</v>
      </c>
      <c r="C6">
        <v>125</v>
      </c>
      <c r="D6" s="5">
        <f>Table1[[#This Row],[Date]]</f>
        <v>42009</v>
      </c>
      <c r="G6" s="4" t="s">
        <v>15</v>
      </c>
      <c r="H6">
        <v>77</v>
      </c>
    </row>
    <row r="7" spans="1:8">
      <c r="A7" s="2">
        <v>42010</v>
      </c>
      <c r="B7" s="2" t="s">
        <v>4</v>
      </c>
      <c r="C7">
        <v>147</v>
      </c>
      <c r="D7" s="5">
        <f>Table1[[#This Row],[Date]]</f>
        <v>42010</v>
      </c>
      <c r="G7" s="4" t="s">
        <v>16</v>
      </c>
      <c r="H7">
        <v>95</v>
      </c>
    </row>
    <row r="8" spans="1:8">
      <c r="A8" s="2">
        <v>42011</v>
      </c>
      <c r="B8" s="2" t="s">
        <v>5</v>
      </c>
      <c r="C8">
        <v>138</v>
      </c>
      <c r="D8" s="5">
        <f>Table1[[#This Row],[Date]]</f>
        <v>42011</v>
      </c>
      <c r="G8" s="4" t="s">
        <v>17</v>
      </c>
      <c r="H8">
        <v>107</v>
      </c>
    </row>
    <row r="9" spans="1:8">
      <c r="A9" s="2">
        <v>42012</v>
      </c>
      <c r="B9" s="2" t="s">
        <v>6</v>
      </c>
      <c r="C9">
        <v>173</v>
      </c>
      <c r="D9" s="5">
        <f>Table1[[#This Row],[Date]]</f>
        <v>42012</v>
      </c>
      <c r="G9" s="4" t="s">
        <v>18</v>
      </c>
      <c r="H9">
        <v>95</v>
      </c>
    </row>
    <row r="10" spans="1:8">
      <c r="A10" s="2">
        <v>42013</v>
      </c>
      <c r="B10" s="2" t="s">
        <v>7</v>
      </c>
      <c r="C10">
        <v>127</v>
      </c>
      <c r="D10" s="5">
        <f>Table1[[#This Row],[Date]]</f>
        <v>42013</v>
      </c>
      <c r="G10" s="4" t="s">
        <v>19</v>
      </c>
      <c r="H10">
        <v>96</v>
      </c>
    </row>
    <row r="11" spans="1:8">
      <c r="A11" s="2">
        <v>42014</v>
      </c>
      <c r="B11" s="2" t="s">
        <v>8</v>
      </c>
      <c r="C11">
        <v>146</v>
      </c>
      <c r="D11" s="5">
        <f>Table1[[#This Row],[Date]]</f>
        <v>42014</v>
      </c>
      <c r="G11" s="4" t="s">
        <v>20</v>
      </c>
      <c r="H11">
        <v>94</v>
      </c>
    </row>
    <row r="12" spans="1:8">
      <c r="A12" s="2">
        <v>42015</v>
      </c>
      <c r="B12" s="2" t="s">
        <v>9</v>
      </c>
      <c r="C12">
        <v>116</v>
      </c>
      <c r="D12" s="5">
        <f>Table1[[#This Row],[Date]]</f>
        <v>42015</v>
      </c>
      <c r="G12" s="4" t="s">
        <v>21</v>
      </c>
      <c r="H12">
        <v>92</v>
      </c>
    </row>
    <row r="13" spans="1:8">
      <c r="A13" s="2">
        <v>42016</v>
      </c>
      <c r="B13" s="2" t="s">
        <v>3</v>
      </c>
      <c r="C13">
        <v>119</v>
      </c>
      <c r="D13" s="5">
        <f>Table1[[#This Row],[Date]]</f>
        <v>42016</v>
      </c>
      <c r="G13" s="4" t="s">
        <v>22</v>
      </c>
      <c r="H13">
        <v>104</v>
      </c>
    </row>
    <row r="14" spans="1:8">
      <c r="A14" s="2">
        <v>42017</v>
      </c>
      <c r="B14" s="2" t="s">
        <v>4</v>
      </c>
      <c r="C14">
        <v>120</v>
      </c>
      <c r="D14" s="5">
        <f>Table1[[#This Row],[Date]]</f>
        <v>42017</v>
      </c>
      <c r="G14" s="4" t="s">
        <v>23</v>
      </c>
      <c r="H14">
        <v>84</v>
      </c>
    </row>
    <row r="15" spans="1:8">
      <c r="A15" s="2">
        <v>42018</v>
      </c>
      <c r="B15" s="2" t="s">
        <v>5</v>
      </c>
      <c r="C15">
        <v>150</v>
      </c>
      <c r="D15" s="5">
        <f>Table1[[#This Row],[Date]]</f>
        <v>42018</v>
      </c>
      <c r="G15" s="4" t="s">
        <v>24</v>
      </c>
      <c r="H15">
        <v>80</v>
      </c>
    </row>
    <row r="16" spans="1:8">
      <c r="A16" s="2">
        <v>42019</v>
      </c>
      <c r="B16" s="2" t="s">
        <v>6</v>
      </c>
      <c r="C16">
        <v>123</v>
      </c>
      <c r="D16" s="5">
        <f>Table1[[#This Row],[Date]]</f>
        <v>42019</v>
      </c>
      <c r="G16" s="4" t="s">
        <v>12</v>
      </c>
      <c r="H16">
        <v>77</v>
      </c>
    </row>
    <row r="17" spans="1:4">
      <c r="A17" s="2">
        <v>42020</v>
      </c>
      <c r="B17" s="2" t="s">
        <v>7</v>
      </c>
      <c r="C17">
        <v>158</v>
      </c>
      <c r="D17" s="5">
        <f>Table1[[#This Row],[Date]]</f>
        <v>42020</v>
      </c>
    </row>
    <row r="18" spans="1:4">
      <c r="A18" s="2">
        <v>42021</v>
      </c>
      <c r="B18" s="2" t="s">
        <v>8</v>
      </c>
      <c r="C18">
        <v>125</v>
      </c>
      <c r="D18" s="5">
        <f>Table1[[#This Row],[Date]]</f>
        <v>42021</v>
      </c>
    </row>
    <row r="19" spans="1:4">
      <c r="A19" s="2">
        <v>42022</v>
      </c>
      <c r="B19" s="2" t="s">
        <v>9</v>
      </c>
      <c r="C19">
        <v>122</v>
      </c>
      <c r="D19" s="5">
        <f>Table1[[#This Row],[Date]]</f>
        <v>42022</v>
      </c>
    </row>
    <row r="20" spans="1:4">
      <c r="A20" s="2">
        <v>42023</v>
      </c>
      <c r="B20" s="2" t="s">
        <v>3</v>
      </c>
      <c r="C20">
        <v>142</v>
      </c>
      <c r="D20" s="5">
        <f>Table1[[#This Row],[Date]]</f>
        <v>42023</v>
      </c>
    </row>
    <row r="21" spans="1:4">
      <c r="A21" s="2">
        <v>42024</v>
      </c>
      <c r="B21" s="2" t="s">
        <v>4</v>
      </c>
      <c r="C21">
        <v>143</v>
      </c>
      <c r="D21" s="5">
        <f>Table1[[#This Row],[Date]]</f>
        <v>42024</v>
      </c>
    </row>
    <row r="22" spans="1:4">
      <c r="A22" s="2">
        <v>42025</v>
      </c>
      <c r="B22" s="2" t="s">
        <v>5</v>
      </c>
      <c r="C22">
        <v>129</v>
      </c>
      <c r="D22" s="5">
        <f>Table1[[#This Row],[Date]]</f>
        <v>42025</v>
      </c>
    </row>
    <row r="23" spans="1:4">
      <c r="A23" s="2">
        <v>42026</v>
      </c>
      <c r="B23" s="2" t="s">
        <v>6</v>
      </c>
      <c r="C23">
        <v>158</v>
      </c>
      <c r="D23" s="5">
        <f>Table1[[#This Row],[Date]]</f>
        <v>42026</v>
      </c>
    </row>
    <row r="24" spans="1:4">
      <c r="A24" s="2">
        <v>42027</v>
      </c>
      <c r="B24" s="2" t="s">
        <v>7</v>
      </c>
      <c r="C24">
        <v>152</v>
      </c>
      <c r="D24" s="5">
        <f>Table1[[#This Row],[Date]]</f>
        <v>42027</v>
      </c>
    </row>
    <row r="25" spans="1:4">
      <c r="A25" s="2">
        <v>42028</v>
      </c>
      <c r="B25" s="2" t="s">
        <v>8</v>
      </c>
      <c r="C25">
        <v>142</v>
      </c>
      <c r="D25" s="5">
        <f>Table1[[#This Row],[Date]]</f>
        <v>42028</v>
      </c>
    </row>
    <row r="26" spans="1:4">
      <c r="A26" s="2">
        <v>42029</v>
      </c>
      <c r="B26" s="2" t="s">
        <v>9</v>
      </c>
      <c r="C26">
        <v>102</v>
      </c>
      <c r="D26" s="5">
        <f>Table1[[#This Row],[Date]]</f>
        <v>42029</v>
      </c>
    </row>
    <row r="27" spans="1:4">
      <c r="A27" s="2">
        <v>42030</v>
      </c>
      <c r="B27" s="2" t="s">
        <v>3</v>
      </c>
      <c r="C27">
        <v>113</v>
      </c>
      <c r="D27" s="5">
        <f>Table1[[#This Row],[Date]]</f>
        <v>42030</v>
      </c>
    </row>
    <row r="28" spans="1:4">
      <c r="A28" s="2">
        <v>42031</v>
      </c>
      <c r="B28" s="2" t="s">
        <v>4</v>
      </c>
      <c r="C28">
        <v>151</v>
      </c>
      <c r="D28" s="5">
        <f>Table1[[#This Row],[Date]]</f>
        <v>42031</v>
      </c>
    </row>
    <row r="29" spans="1:4">
      <c r="A29" s="2">
        <v>42032</v>
      </c>
      <c r="B29" s="2" t="s">
        <v>5</v>
      </c>
      <c r="C29">
        <v>118</v>
      </c>
      <c r="D29" s="5">
        <f>Table1[[#This Row],[Date]]</f>
        <v>42032</v>
      </c>
    </row>
    <row r="30" spans="1:4">
      <c r="A30" s="2">
        <v>42033</v>
      </c>
      <c r="B30" s="2" t="s">
        <v>6</v>
      </c>
      <c r="C30">
        <v>119</v>
      </c>
      <c r="D30" s="5">
        <f>Table1[[#This Row],[Date]]</f>
        <v>42033</v>
      </c>
    </row>
    <row r="31" spans="1:4">
      <c r="A31" s="2">
        <v>42034</v>
      </c>
      <c r="B31" s="2" t="s">
        <v>7</v>
      </c>
      <c r="C31">
        <v>138</v>
      </c>
      <c r="D31" s="5">
        <f>Table1[[#This Row],[Date]]</f>
        <v>42034</v>
      </c>
    </row>
    <row r="32" spans="1:4">
      <c r="A32" s="2">
        <v>42035</v>
      </c>
      <c r="B32" s="2" t="s">
        <v>8</v>
      </c>
      <c r="C32">
        <v>145</v>
      </c>
      <c r="D32" s="5">
        <f>Table1[[#This Row],[Date]]</f>
        <v>42035</v>
      </c>
    </row>
    <row r="33" spans="1:4">
      <c r="A33" s="2">
        <v>42036</v>
      </c>
      <c r="B33" s="2" t="s">
        <v>9</v>
      </c>
      <c r="C33">
        <v>191</v>
      </c>
      <c r="D33" s="5">
        <f>Table1[[#This Row],[Date]]</f>
        <v>42036</v>
      </c>
    </row>
    <row r="34" spans="1:4">
      <c r="A34" s="2">
        <v>42037</v>
      </c>
      <c r="B34" s="2" t="s">
        <v>3</v>
      </c>
      <c r="C34">
        <v>145</v>
      </c>
      <c r="D34" s="5">
        <f>Table1[[#This Row],[Date]]</f>
        <v>42037</v>
      </c>
    </row>
    <row r="35" spans="1:4">
      <c r="A35" s="2">
        <v>42038</v>
      </c>
      <c r="B35" s="2" t="s">
        <v>4</v>
      </c>
      <c r="C35">
        <v>159</v>
      </c>
      <c r="D35" s="5">
        <f>Table1[[#This Row],[Date]]</f>
        <v>42038</v>
      </c>
    </row>
    <row r="36" spans="1:4">
      <c r="A36" s="2">
        <v>42039</v>
      </c>
      <c r="B36" s="2" t="s">
        <v>5</v>
      </c>
      <c r="C36">
        <v>138</v>
      </c>
      <c r="D36" s="5">
        <f>Table1[[#This Row],[Date]]</f>
        <v>42039</v>
      </c>
    </row>
    <row r="37" spans="1:4">
      <c r="A37" s="2">
        <v>42040</v>
      </c>
      <c r="B37" s="2" t="s">
        <v>6</v>
      </c>
      <c r="C37">
        <v>133</v>
      </c>
      <c r="D37" s="5">
        <f>Table1[[#This Row],[Date]]</f>
        <v>42040</v>
      </c>
    </row>
    <row r="38" spans="1:4">
      <c r="A38" s="2">
        <v>42041</v>
      </c>
      <c r="B38" s="2" t="s">
        <v>7</v>
      </c>
      <c r="C38">
        <v>153</v>
      </c>
      <c r="D38" s="5">
        <f>Table1[[#This Row],[Date]]</f>
        <v>42041</v>
      </c>
    </row>
    <row r="39" spans="1:4">
      <c r="A39" s="2">
        <v>42042</v>
      </c>
      <c r="B39" s="2" t="s">
        <v>8</v>
      </c>
      <c r="C39">
        <v>136</v>
      </c>
      <c r="D39" s="5">
        <f>Table1[[#This Row],[Date]]</f>
        <v>42042</v>
      </c>
    </row>
    <row r="40" spans="1:4">
      <c r="A40" s="2">
        <v>42043</v>
      </c>
      <c r="B40" s="2" t="s">
        <v>9</v>
      </c>
      <c r="C40">
        <v>124</v>
      </c>
      <c r="D40" s="5">
        <f>Table1[[#This Row],[Date]]</f>
        <v>42043</v>
      </c>
    </row>
    <row r="41" spans="1:4">
      <c r="A41" s="2">
        <v>42044</v>
      </c>
      <c r="B41" s="2" t="s">
        <v>3</v>
      </c>
      <c r="C41">
        <v>136</v>
      </c>
      <c r="D41" s="5">
        <f>Table1[[#This Row],[Date]]</f>
        <v>42044</v>
      </c>
    </row>
    <row r="42" spans="1:4">
      <c r="A42" s="2">
        <v>42045</v>
      </c>
      <c r="B42" s="2" t="s">
        <v>4</v>
      </c>
      <c r="C42">
        <v>124</v>
      </c>
      <c r="D42" s="5">
        <f>Table1[[#This Row],[Date]]</f>
        <v>42045</v>
      </c>
    </row>
    <row r="43" spans="1:4">
      <c r="A43" s="2">
        <v>42046</v>
      </c>
      <c r="B43" s="2" t="s">
        <v>5</v>
      </c>
      <c r="C43">
        <v>155</v>
      </c>
      <c r="D43" s="5">
        <f>Table1[[#This Row],[Date]]</f>
        <v>42046</v>
      </c>
    </row>
    <row r="44" spans="1:4">
      <c r="A44" s="2">
        <v>42047</v>
      </c>
      <c r="B44" s="2" t="s">
        <v>6</v>
      </c>
      <c r="C44">
        <v>130</v>
      </c>
      <c r="D44" s="5">
        <f>Table1[[#This Row],[Date]]</f>
        <v>42047</v>
      </c>
    </row>
    <row r="45" spans="1:4">
      <c r="A45" s="2">
        <v>42048</v>
      </c>
      <c r="B45" s="2" t="s">
        <v>7</v>
      </c>
      <c r="C45">
        <v>163</v>
      </c>
      <c r="D45" s="5">
        <f>Table1[[#This Row],[Date]]</f>
        <v>42048</v>
      </c>
    </row>
    <row r="46" spans="1:4">
      <c r="A46" s="2">
        <v>42049</v>
      </c>
      <c r="B46" s="2" t="s">
        <v>8</v>
      </c>
      <c r="C46">
        <v>140</v>
      </c>
      <c r="D46" s="5">
        <f>Table1[[#This Row],[Date]]</f>
        <v>42049</v>
      </c>
    </row>
    <row r="47" spans="1:4">
      <c r="A47" s="2">
        <v>42050</v>
      </c>
      <c r="B47" s="2" t="s">
        <v>9</v>
      </c>
      <c r="C47">
        <v>128</v>
      </c>
      <c r="D47" s="5">
        <f>Table1[[#This Row],[Date]]</f>
        <v>42050</v>
      </c>
    </row>
    <row r="48" spans="1:4">
      <c r="A48" s="2">
        <v>42051</v>
      </c>
      <c r="B48" s="2" t="s">
        <v>3</v>
      </c>
      <c r="C48">
        <v>119</v>
      </c>
      <c r="D48" s="5">
        <f>Table1[[#This Row],[Date]]</f>
        <v>42051</v>
      </c>
    </row>
    <row r="49" spans="1:4">
      <c r="A49" s="2">
        <v>42052</v>
      </c>
      <c r="B49" s="2" t="s">
        <v>4</v>
      </c>
      <c r="C49">
        <v>129</v>
      </c>
      <c r="D49" s="5">
        <f>Table1[[#This Row],[Date]]</f>
        <v>42052</v>
      </c>
    </row>
    <row r="50" spans="1:4">
      <c r="A50" s="2">
        <v>42053</v>
      </c>
      <c r="B50" s="2" t="s">
        <v>5</v>
      </c>
      <c r="C50">
        <v>163</v>
      </c>
      <c r="D50" s="5">
        <f>Table1[[#This Row],[Date]]</f>
        <v>42053</v>
      </c>
    </row>
    <row r="51" spans="1:4">
      <c r="A51" s="2">
        <v>42054</v>
      </c>
      <c r="B51" s="2" t="s">
        <v>6</v>
      </c>
      <c r="C51">
        <v>123</v>
      </c>
      <c r="D51" s="5">
        <f>Table1[[#This Row],[Date]]</f>
        <v>42054</v>
      </c>
    </row>
    <row r="52" spans="1:4">
      <c r="A52" s="2">
        <v>42055</v>
      </c>
      <c r="B52" s="2" t="s">
        <v>7</v>
      </c>
      <c r="C52">
        <v>175</v>
      </c>
      <c r="D52" s="5">
        <f>Table1[[#This Row],[Date]]</f>
        <v>42055</v>
      </c>
    </row>
    <row r="53" spans="1:4">
      <c r="A53" s="2">
        <v>42056</v>
      </c>
      <c r="B53" s="2" t="s">
        <v>8</v>
      </c>
      <c r="C53">
        <v>127</v>
      </c>
      <c r="D53" s="5">
        <f>Table1[[#This Row],[Date]]</f>
        <v>42056</v>
      </c>
    </row>
    <row r="54" spans="1:4">
      <c r="A54" s="2">
        <v>42057</v>
      </c>
      <c r="B54" s="2" t="s">
        <v>9</v>
      </c>
      <c r="C54">
        <v>97</v>
      </c>
      <c r="D54" s="5">
        <f>Table1[[#This Row],[Date]]</f>
        <v>42057</v>
      </c>
    </row>
    <row r="55" spans="1:4">
      <c r="A55" s="2">
        <v>42058</v>
      </c>
      <c r="B55" s="2" t="s">
        <v>3</v>
      </c>
      <c r="C55">
        <v>128</v>
      </c>
      <c r="D55" s="5">
        <f>Table1[[#This Row],[Date]]</f>
        <v>42058</v>
      </c>
    </row>
    <row r="56" spans="1:4">
      <c r="A56" s="2">
        <v>42059</v>
      </c>
      <c r="B56" s="2" t="s">
        <v>4</v>
      </c>
      <c r="C56">
        <v>134</v>
      </c>
      <c r="D56" s="5">
        <f>Table1[[#This Row],[Date]]</f>
        <v>42059</v>
      </c>
    </row>
    <row r="57" spans="1:4">
      <c r="A57" s="2">
        <v>42060</v>
      </c>
      <c r="B57" s="2" t="s">
        <v>5</v>
      </c>
      <c r="C57">
        <v>144</v>
      </c>
      <c r="D57" s="5">
        <f>Table1[[#This Row],[Date]]</f>
        <v>42060</v>
      </c>
    </row>
    <row r="58" spans="1:4">
      <c r="A58" s="2">
        <v>42061</v>
      </c>
      <c r="B58" s="2" t="s">
        <v>6</v>
      </c>
      <c r="C58">
        <v>140</v>
      </c>
      <c r="D58" s="5">
        <f>Table1[[#This Row],[Date]]</f>
        <v>42061</v>
      </c>
    </row>
    <row r="59" spans="1:4">
      <c r="A59" s="2">
        <v>42062</v>
      </c>
      <c r="B59" s="2" t="s">
        <v>7</v>
      </c>
      <c r="C59">
        <v>173</v>
      </c>
      <c r="D59" s="5">
        <f>Table1[[#This Row],[Date]]</f>
        <v>42062</v>
      </c>
    </row>
    <row r="60" spans="1:4">
      <c r="A60" s="2">
        <v>42063</v>
      </c>
      <c r="B60" s="2" t="s">
        <v>8</v>
      </c>
      <c r="C60">
        <v>154</v>
      </c>
      <c r="D60" s="5">
        <f>Table1[[#This Row],[Date]]</f>
        <v>42063</v>
      </c>
    </row>
    <row r="61" spans="1:4">
      <c r="A61" s="2">
        <v>42064</v>
      </c>
      <c r="B61" s="2" t="s">
        <v>9</v>
      </c>
      <c r="C61">
        <v>99</v>
      </c>
      <c r="D61" s="5">
        <f>Table1[[#This Row],[Date]]</f>
        <v>42064</v>
      </c>
    </row>
    <row r="62" spans="1:4">
      <c r="A62" s="2">
        <v>42065</v>
      </c>
      <c r="B62" s="2" t="s">
        <v>3</v>
      </c>
      <c r="C62">
        <v>139</v>
      </c>
      <c r="D62" s="5">
        <f>Table1[[#This Row],[Date]]</f>
        <v>42065</v>
      </c>
    </row>
    <row r="63" spans="1:4">
      <c r="A63" s="2">
        <v>42066</v>
      </c>
      <c r="B63" s="2" t="s">
        <v>4</v>
      </c>
      <c r="C63">
        <v>137</v>
      </c>
      <c r="D63" s="5">
        <f>Table1[[#This Row],[Date]]</f>
        <v>42066</v>
      </c>
    </row>
    <row r="64" spans="1:4">
      <c r="A64" s="2">
        <v>42067</v>
      </c>
      <c r="B64" s="2" t="s">
        <v>5</v>
      </c>
      <c r="C64">
        <v>147</v>
      </c>
      <c r="D64" s="5">
        <f>Table1[[#This Row],[Date]]</f>
        <v>42067</v>
      </c>
    </row>
    <row r="65" spans="1:4">
      <c r="A65" s="2">
        <v>42068</v>
      </c>
      <c r="B65" s="2" t="s">
        <v>6</v>
      </c>
      <c r="C65">
        <v>142</v>
      </c>
      <c r="D65" s="5">
        <f>Table1[[#This Row],[Date]]</f>
        <v>42068</v>
      </c>
    </row>
    <row r="66" spans="1:4">
      <c r="A66" s="2">
        <v>42069</v>
      </c>
      <c r="B66" s="2" t="s">
        <v>7</v>
      </c>
      <c r="C66">
        <v>152</v>
      </c>
      <c r="D66" s="5">
        <f>Table1[[#This Row],[Date]]</f>
        <v>42069</v>
      </c>
    </row>
    <row r="67" spans="1:4">
      <c r="A67" s="2">
        <v>42070</v>
      </c>
      <c r="B67" s="2" t="s">
        <v>8</v>
      </c>
      <c r="C67">
        <v>144</v>
      </c>
      <c r="D67" s="5">
        <f>Table1[[#This Row],[Date]]</f>
        <v>42070</v>
      </c>
    </row>
    <row r="68" spans="1:4">
      <c r="A68" s="2">
        <v>42071</v>
      </c>
      <c r="B68" s="2" t="s">
        <v>9</v>
      </c>
      <c r="C68">
        <v>135</v>
      </c>
      <c r="D68" s="5">
        <f>Table1[[#This Row],[Date]]</f>
        <v>42071</v>
      </c>
    </row>
    <row r="69" spans="1:4">
      <c r="A69" s="2">
        <v>42072</v>
      </c>
      <c r="B69" s="2" t="s">
        <v>3</v>
      </c>
      <c r="C69">
        <v>138</v>
      </c>
      <c r="D69" s="5">
        <f>Table1[[#This Row],[Date]]</f>
        <v>42072</v>
      </c>
    </row>
    <row r="70" spans="1:4">
      <c r="A70" s="2">
        <v>42073</v>
      </c>
      <c r="B70" s="2" t="s">
        <v>4</v>
      </c>
      <c r="C70">
        <v>144</v>
      </c>
      <c r="D70" s="5">
        <f>Table1[[#This Row],[Date]]</f>
        <v>42073</v>
      </c>
    </row>
    <row r="71" spans="1:4">
      <c r="A71" s="2">
        <v>42074</v>
      </c>
      <c r="B71" s="2" t="s">
        <v>5</v>
      </c>
      <c r="C71">
        <v>134</v>
      </c>
      <c r="D71" s="5">
        <f>Table1[[#This Row],[Date]]</f>
        <v>42074</v>
      </c>
    </row>
    <row r="72" spans="1:4">
      <c r="A72" s="2">
        <v>42075</v>
      </c>
      <c r="B72" s="2" t="s">
        <v>6</v>
      </c>
      <c r="C72">
        <v>119</v>
      </c>
      <c r="D72" s="5">
        <f>Table1[[#This Row],[Date]]</f>
        <v>42075</v>
      </c>
    </row>
    <row r="73" spans="1:4">
      <c r="A73" s="2">
        <v>42076</v>
      </c>
      <c r="B73" s="2" t="s">
        <v>7</v>
      </c>
      <c r="C73">
        <v>176</v>
      </c>
      <c r="D73" s="5">
        <f>Table1[[#This Row],[Date]]</f>
        <v>42076</v>
      </c>
    </row>
    <row r="74" spans="1:4">
      <c r="A74" s="2">
        <v>42077</v>
      </c>
      <c r="B74" s="2" t="s">
        <v>8</v>
      </c>
      <c r="C74">
        <v>123</v>
      </c>
      <c r="D74" s="5">
        <f>Table1[[#This Row],[Date]]</f>
        <v>42077</v>
      </c>
    </row>
    <row r="75" spans="1:4">
      <c r="A75" s="2">
        <v>42078</v>
      </c>
      <c r="B75" s="2" t="s">
        <v>9</v>
      </c>
      <c r="C75">
        <v>131</v>
      </c>
      <c r="D75" s="5">
        <f>Table1[[#This Row],[Date]]</f>
        <v>42078</v>
      </c>
    </row>
    <row r="76" spans="1:4">
      <c r="A76" s="2">
        <v>42079</v>
      </c>
      <c r="B76" s="2" t="s">
        <v>3</v>
      </c>
      <c r="C76">
        <v>141</v>
      </c>
      <c r="D76" s="5">
        <f>Table1[[#This Row],[Date]]</f>
        <v>42079</v>
      </c>
    </row>
    <row r="77" spans="1:4">
      <c r="A77" s="2">
        <v>42080</v>
      </c>
      <c r="B77" s="2" t="s">
        <v>4</v>
      </c>
      <c r="C77">
        <v>179</v>
      </c>
      <c r="D77" s="5">
        <f>Table1[[#This Row],[Date]]</f>
        <v>42080</v>
      </c>
    </row>
    <row r="78" spans="1:4">
      <c r="A78" s="2">
        <v>42081</v>
      </c>
      <c r="B78" s="2" t="s">
        <v>5</v>
      </c>
      <c r="C78">
        <v>123</v>
      </c>
      <c r="D78" s="5">
        <f>Table1[[#This Row],[Date]]</f>
        <v>42081</v>
      </c>
    </row>
    <row r="79" spans="1:4">
      <c r="A79" s="2">
        <v>42082</v>
      </c>
      <c r="B79" s="2" t="s">
        <v>6</v>
      </c>
      <c r="C79">
        <v>144</v>
      </c>
      <c r="D79" s="5">
        <f>Table1[[#This Row],[Date]]</f>
        <v>42082</v>
      </c>
    </row>
    <row r="80" spans="1:4">
      <c r="A80" s="2">
        <v>42083</v>
      </c>
      <c r="B80" s="2" t="s">
        <v>7</v>
      </c>
      <c r="C80">
        <v>149</v>
      </c>
      <c r="D80" s="5">
        <f>Table1[[#This Row],[Date]]</f>
        <v>42083</v>
      </c>
    </row>
    <row r="81" spans="1:4">
      <c r="A81" s="2">
        <v>42084</v>
      </c>
      <c r="B81" s="2" t="s">
        <v>8</v>
      </c>
      <c r="C81">
        <v>136</v>
      </c>
      <c r="D81" s="5">
        <f>Table1[[#This Row],[Date]]</f>
        <v>42084</v>
      </c>
    </row>
    <row r="82" spans="1:4">
      <c r="A82" s="2">
        <v>42085</v>
      </c>
      <c r="B82" s="2" t="s">
        <v>9</v>
      </c>
      <c r="C82">
        <v>77</v>
      </c>
      <c r="D82" s="5">
        <f>Table1[[#This Row],[Date]]</f>
        <v>42085</v>
      </c>
    </row>
    <row r="83" spans="1:4">
      <c r="A83" s="2">
        <v>42086</v>
      </c>
      <c r="B83" s="2" t="s">
        <v>3</v>
      </c>
      <c r="C83">
        <v>135</v>
      </c>
      <c r="D83" s="5">
        <f>Table1[[#This Row],[Date]]</f>
        <v>42086</v>
      </c>
    </row>
    <row r="84" spans="1:4">
      <c r="A84" s="2">
        <v>42087</v>
      </c>
      <c r="B84" s="2" t="s">
        <v>4</v>
      </c>
      <c r="C84">
        <v>130</v>
      </c>
      <c r="D84" s="5">
        <f>Table1[[#This Row],[Date]]</f>
        <v>42087</v>
      </c>
    </row>
    <row r="85" spans="1:4">
      <c r="A85" s="2">
        <v>42088</v>
      </c>
      <c r="B85" s="2" t="s">
        <v>5</v>
      </c>
      <c r="C85">
        <v>115</v>
      </c>
      <c r="D85" s="5">
        <f>Table1[[#This Row],[Date]]</f>
        <v>42088</v>
      </c>
    </row>
    <row r="86" spans="1:4">
      <c r="A86" s="2">
        <v>42089</v>
      </c>
      <c r="B86" s="2" t="s">
        <v>6</v>
      </c>
      <c r="C86">
        <v>136</v>
      </c>
      <c r="D86" s="5">
        <f>Table1[[#This Row],[Date]]</f>
        <v>42089</v>
      </c>
    </row>
    <row r="87" spans="1:4">
      <c r="A87" s="2">
        <v>42090</v>
      </c>
      <c r="B87" s="2" t="s">
        <v>7</v>
      </c>
      <c r="C87">
        <v>167</v>
      </c>
      <c r="D87" s="5">
        <f>Table1[[#This Row],[Date]]</f>
        <v>42090</v>
      </c>
    </row>
    <row r="88" spans="1:4">
      <c r="A88" s="2">
        <v>42091</v>
      </c>
      <c r="B88" s="2" t="s">
        <v>8</v>
      </c>
      <c r="C88">
        <v>139</v>
      </c>
      <c r="D88" s="5">
        <f>Table1[[#This Row],[Date]]</f>
        <v>42091</v>
      </c>
    </row>
    <row r="89" spans="1:4">
      <c r="A89" s="2">
        <v>42092</v>
      </c>
      <c r="B89" s="2" t="s">
        <v>9</v>
      </c>
      <c r="C89">
        <v>132</v>
      </c>
      <c r="D89" s="5">
        <f>Table1[[#This Row],[Date]]</f>
        <v>42092</v>
      </c>
    </row>
    <row r="90" spans="1:4">
      <c r="A90" s="2">
        <v>42093</v>
      </c>
      <c r="B90" s="2" t="s">
        <v>3</v>
      </c>
      <c r="C90">
        <v>137</v>
      </c>
      <c r="D90" s="5">
        <f>Table1[[#This Row],[Date]]</f>
        <v>42093</v>
      </c>
    </row>
    <row r="91" spans="1:4">
      <c r="A91" s="2">
        <v>42094</v>
      </c>
      <c r="B91" s="2" t="s">
        <v>4</v>
      </c>
      <c r="C91">
        <v>161</v>
      </c>
      <c r="D91" s="5">
        <f>Table1[[#This Row],[Date]]</f>
        <v>42094</v>
      </c>
    </row>
    <row r="92" spans="1:4">
      <c r="A92" s="2">
        <v>42095</v>
      </c>
      <c r="B92" s="2" t="s">
        <v>5</v>
      </c>
      <c r="C92">
        <v>135</v>
      </c>
      <c r="D92" s="5">
        <f>Table1[[#This Row],[Date]]</f>
        <v>42095</v>
      </c>
    </row>
    <row r="93" spans="1:4">
      <c r="A93" s="2">
        <v>42096</v>
      </c>
      <c r="B93" s="2" t="s">
        <v>6</v>
      </c>
      <c r="C93">
        <v>150</v>
      </c>
      <c r="D93" s="5">
        <f>Table1[[#This Row],[Date]]</f>
        <v>42096</v>
      </c>
    </row>
    <row r="94" spans="1:4">
      <c r="A94" s="2">
        <v>42097</v>
      </c>
      <c r="B94" s="2" t="s">
        <v>7</v>
      </c>
      <c r="C94">
        <v>155</v>
      </c>
      <c r="D94" s="5">
        <f>Table1[[#This Row],[Date]]</f>
        <v>42097</v>
      </c>
    </row>
    <row r="95" spans="1:4">
      <c r="A95" s="2">
        <v>42098</v>
      </c>
      <c r="B95" s="2" t="s">
        <v>8</v>
      </c>
      <c r="C95">
        <v>170</v>
      </c>
      <c r="D95" s="5">
        <f>Table1[[#This Row],[Date]]</f>
        <v>42098</v>
      </c>
    </row>
    <row r="96" spans="1:4">
      <c r="A96" s="2">
        <v>42099</v>
      </c>
      <c r="B96" s="2" t="s">
        <v>9</v>
      </c>
      <c r="C96">
        <v>117</v>
      </c>
      <c r="D96" s="5">
        <f>Table1[[#This Row],[Date]]</f>
        <v>42099</v>
      </c>
    </row>
    <row r="97" spans="1:4">
      <c r="A97" s="2">
        <v>42100</v>
      </c>
      <c r="B97" s="2" t="s">
        <v>3</v>
      </c>
      <c r="C97">
        <v>157</v>
      </c>
      <c r="D97" s="5">
        <f>Table1[[#This Row],[Date]]</f>
        <v>42100</v>
      </c>
    </row>
    <row r="98" spans="1:4">
      <c r="A98" s="2">
        <v>42101</v>
      </c>
      <c r="B98" s="2" t="s">
        <v>4</v>
      </c>
      <c r="C98">
        <v>138</v>
      </c>
      <c r="D98" s="5">
        <f>Table1[[#This Row],[Date]]</f>
        <v>42101</v>
      </c>
    </row>
    <row r="99" spans="1:4">
      <c r="A99" s="2">
        <v>42102</v>
      </c>
      <c r="B99" s="2" t="s">
        <v>5</v>
      </c>
      <c r="C99">
        <v>136</v>
      </c>
      <c r="D99" s="5">
        <f>Table1[[#This Row],[Date]]</f>
        <v>42102</v>
      </c>
    </row>
    <row r="100" spans="1:4">
      <c r="A100" s="2">
        <v>42103</v>
      </c>
      <c r="B100" s="2" t="s">
        <v>6</v>
      </c>
      <c r="C100">
        <v>122</v>
      </c>
      <c r="D100" s="5">
        <f>Table1[[#This Row],[Date]]</f>
        <v>42103</v>
      </c>
    </row>
    <row r="101" spans="1:4">
      <c r="A101" s="2">
        <v>42104</v>
      </c>
      <c r="B101" s="2" t="s">
        <v>7</v>
      </c>
      <c r="C101">
        <v>142</v>
      </c>
      <c r="D101" s="5">
        <f>Table1[[#This Row],[Date]]</f>
        <v>42104</v>
      </c>
    </row>
    <row r="102" spans="1:4">
      <c r="A102" s="2">
        <v>42105</v>
      </c>
      <c r="B102" s="2" t="s">
        <v>8</v>
      </c>
      <c r="C102">
        <v>153</v>
      </c>
      <c r="D102" s="5">
        <f>Table1[[#This Row],[Date]]</f>
        <v>42105</v>
      </c>
    </row>
    <row r="103" spans="1:4">
      <c r="A103" s="2">
        <v>42106</v>
      </c>
      <c r="B103" s="2" t="s">
        <v>9</v>
      </c>
      <c r="C103">
        <v>120</v>
      </c>
      <c r="D103" s="5">
        <f>Table1[[#This Row],[Date]]</f>
        <v>42106</v>
      </c>
    </row>
    <row r="104" spans="1:4">
      <c r="A104" s="2">
        <v>42107</v>
      </c>
      <c r="B104" s="2" t="s">
        <v>3</v>
      </c>
      <c r="C104">
        <v>144</v>
      </c>
      <c r="D104" s="5">
        <f>Table1[[#This Row],[Date]]</f>
        <v>42107</v>
      </c>
    </row>
    <row r="105" spans="1:4">
      <c r="A105" s="2">
        <v>42108</v>
      </c>
      <c r="B105" s="2" t="s">
        <v>4</v>
      </c>
      <c r="C105">
        <v>146</v>
      </c>
      <c r="D105" s="5">
        <f>Table1[[#This Row],[Date]]</f>
        <v>42108</v>
      </c>
    </row>
    <row r="106" spans="1:4">
      <c r="A106" s="2">
        <v>42109</v>
      </c>
      <c r="B106" s="2" t="s">
        <v>5</v>
      </c>
      <c r="C106">
        <v>158</v>
      </c>
      <c r="D106" s="5">
        <f>Table1[[#This Row],[Date]]</f>
        <v>42109</v>
      </c>
    </row>
    <row r="107" spans="1:4">
      <c r="A107" s="2">
        <v>42110</v>
      </c>
      <c r="B107" s="2" t="s">
        <v>6</v>
      </c>
      <c r="C107">
        <v>126</v>
      </c>
      <c r="D107" s="5">
        <f>Table1[[#This Row],[Date]]</f>
        <v>42110</v>
      </c>
    </row>
    <row r="108" spans="1:4">
      <c r="A108" s="2">
        <v>42111</v>
      </c>
      <c r="B108" s="2" t="s">
        <v>7</v>
      </c>
      <c r="C108">
        <v>161</v>
      </c>
      <c r="D108" s="5">
        <f>Table1[[#This Row],[Date]]</f>
        <v>42111</v>
      </c>
    </row>
    <row r="109" spans="1:4">
      <c r="A109" s="2">
        <v>42112</v>
      </c>
      <c r="B109" s="2" t="s">
        <v>8</v>
      </c>
      <c r="C109">
        <v>137</v>
      </c>
      <c r="D109" s="5">
        <f>Table1[[#This Row],[Date]]</f>
        <v>42112</v>
      </c>
    </row>
    <row r="110" spans="1:4">
      <c r="A110" s="2">
        <v>42113</v>
      </c>
      <c r="B110" s="2" t="s">
        <v>9</v>
      </c>
      <c r="C110">
        <v>95</v>
      </c>
      <c r="D110" s="5">
        <f>Table1[[#This Row],[Date]]</f>
        <v>42113</v>
      </c>
    </row>
    <row r="111" spans="1:4">
      <c r="A111" s="2">
        <v>42114</v>
      </c>
      <c r="B111" s="2" t="s">
        <v>3</v>
      </c>
      <c r="C111">
        <v>151</v>
      </c>
      <c r="D111" s="5">
        <f>Table1[[#This Row],[Date]]</f>
        <v>42114</v>
      </c>
    </row>
    <row r="112" spans="1:4">
      <c r="A112" s="2">
        <v>42115</v>
      </c>
      <c r="B112" s="2" t="s">
        <v>4</v>
      </c>
      <c r="C112">
        <v>134</v>
      </c>
      <c r="D112" s="5">
        <f>Table1[[#This Row],[Date]]</f>
        <v>42115</v>
      </c>
    </row>
    <row r="113" spans="1:4">
      <c r="A113" s="2">
        <v>42116</v>
      </c>
      <c r="B113" s="2" t="s">
        <v>5</v>
      </c>
      <c r="C113">
        <v>134</v>
      </c>
      <c r="D113" s="5">
        <f>Table1[[#This Row],[Date]]</f>
        <v>42116</v>
      </c>
    </row>
    <row r="114" spans="1:4">
      <c r="A114" s="2">
        <v>42117</v>
      </c>
      <c r="B114" s="2" t="s">
        <v>6</v>
      </c>
      <c r="C114">
        <v>144</v>
      </c>
      <c r="D114" s="5">
        <f>Table1[[#This Row],[Date]]</f>
        <v>42117</v>
      </c>
    </row>
    <row r="115" spans="1:4">
      <c r="A115" s="2">
        <v>42118</v>
      </c>
      <c r="B115" s="2" t="s">
        <v>7</v>
      </c>
      <c r="C115">
        <v>175</v>
      </c>
      <c r="D115" s="5">
        <f>Table1[[#This Row],[Date]]</f>
        <v>42118</v>
      </c>
    </row>
    <row r="116" spans="1:4">
      <c r="A116" s="2">
        <v>42119</v>
      </c>
      <c r="B116" s="2" t="s">
        <v>8</v>
      </c>
      <c r="C116">
        <v>126</v>
      </c>
      <c r="D116" s="5">
        <f>Table1[[#This Row],[Date]]</f>
        <v>42119</v>
      </c>
    </row>
    <row r="117" spans="1:4">
      <c r="A117" s="2">
        <v>42120</v>
      </c>
      <c r="B117" s="2" t="s">
        <v>9</v>
      </c>
      <c r="C117">
        <v>111</v>
      </c>
      <c r="D117" s="5">
        <f>Table1[[#This Row],[Date]]</f>
        <v>42120</v>
      </c>
    </row>
    <row r="118" spans="1:4">
      <c r="A118" s="2">
        <v>42121</v>
      </c>
      <c r="B118" s="2" t="s">
        <v>3</v>
      </c>
      <c r="C118">
        <v>133</v>
      </c>
      <c r="D118" s="5">
        <f>Table1[[#This Row],[Date]]</f>
        <v>42121</v>
      </c>
    </row>
    <row r="119" spans="1:4">
      <c r="A119" s="2">
        <v>42122</v>
      </c>
      <c r="B119" s="2" t="s">
        <v>4</v>
      </c>
      <c r="C119">
        <v>107</v>
      </c>
      <c r="D119" s="5">
        <f>Table1[[#This Row],[Date]]</f>
        <v>42122</v>
      </c>
    </row>
    <row r="120" spans="1:4">
      <c r="A120" s="2">
        <v>42123</v>
      </c>
      <c r="B120" s="2" t="s">
        <v>5</v>
      </c>
      <c r="C120">
        <v>111</v>
      </c>
      <c r="D120" s="5">
        <f>Table1[[#This Row],[Date]]</f>
        <v>42123</v>
      </c>
    </row>
    <row r="121" spans="1:4">
      <c r="A121" s="2">
        <v>42124</v>
      </c>
      <c r="B121" s="2" t="s">
        <v>6</v>
      </c>
      <c r="C121">
        <v>163</v>
      </c>
      <c r="D121" s="5">
        <f>Table1[[#This Row],[Date]]</f>
        <v>42124</v>
      </c>
    </row>
    <row r="122" spans="1:4">
      <c r="A122" s="2">
        <v>42125</v>
      </c>
      <c r="B122" s="2" t="s">
        <v>7</v>
      </c>
      <c r="C122">
        <v>154</v>
      </c>
      <c r="D122" s="5">
        <f>Table1[[#This Row],[Date]]</f>
        <v>42125</v>
      </c>
    </row>
    <row r="123" spans="1:4">
      <c r="A123" s="2">
        <v>42126</v>
      </c>
      <c r="B123" s="2" t="s">
        <v>8</v>
      </c>
      <c r="C123">
        <v>152</v>
      </c>
      <c r="D123" s="5">
        <f>Table1[[#This Row],[Date]]</f>
        <v>42126</v>
      </c>
    </row>
    <row r="124" spans="1:4">
      <c r="A124" s="2">
        <v>42127</v>
      </c>
      <c r="B124" s="2" t="s">
        <v>9</v>
      </c>
      <c r="C124">
        <v>114</v>
      </c>
      <c r="D124" s="5">
        <f>Table1[[#This Row],[Date]]</f>
        <v>42127</v>
      </c>
    </row>
    <row r="125" spans="1:4">
      <c r="A125" s="2">
        <v>42128</v>
      </c>
      <c r="B125" s="2" t="s">
        <v>3</v>
      </c>
      <c r="C125">
        <v>141</v>
      </c>
      <c r="D125" s="5">
        <f>Table1[[#This Row],[Date]]</f>
        <v>42128</v>
      </c>
    </row>
    <row r="126" spans="1:4">
      <c r="A126" s="2">
        <v>42129</v>
      </c>
      <c r="B126" s="2" t="s">
        <v>4</v>
      </c>
      <c r="C126">
        <v>107</v>
      </c>
      <c r="D126" s="5">
        <f>Table1[[#This Row],[Date]]</f>
        <v>42129</v>
      </c>
    </row>
    <row r="127" spans="1:4">
      <c r="A127" s="2">
        <v>42130</v>
      </c>
      <c r="B127" s="2" t="s">
        <v>5</v>
      </c>
      <c r="C127">
        <v>140</v>
      </c>
      <c r="D127" s="5">
        <f>Table1[[#This Row],[Date]]</f>
        <v>42130</v>
      </c>
    </row>
    <row r="128" spans="1:4">
      <c r="A128" s="2">
        <v>42131</v>
      </c>
      <c r="B128" s="2" t="s">
        <v>6</v>
      </c>
      <c r="C128">
        <v>131</v>
      </c>
      <c r="D128" s="5">
        <f>Table1[[#This Row],[Date]]</f>
        <v>42131</v>
      </c>
    </row>
    <row r="129" spans="1:4">
      <c r="A129" s="2">
        <v>42132</v>
      </c>
      <c r="B129" s="2" t="s">
        <v>7</v>
      </c>
      <c r="C129">
        <v>181</v>
      </c>
      <c r="D129" s="5">
        <f>Table1[[#This Row],[Date]]</f>
        <v>42132</v>
      </c>
    </row>
    <row r="130" spans="1:4">
      <c r="A130" s="2">
        <v>42133</v>
      </c>
      <c r="B130" s="2" t="s">
        <v>8</v>
      </c>
      <c r="C130">
        <v>144</v>
      </c>
      <c r="D130" s="5">
        <f>Table1[[#This Row],[Date]]</f>
        <v>42133</v>
      </c>
    </row>
    <row r="131" spans="1:4">
      <c r="A131" s="2">
        <v>42134</v>
      </c>
      <c r="B131" s="2" t="s">
        <v>9</v>
      </c>
      <c r="C131">
        <v>141</v>
      </c>
      <c r="D131" s="5">
        <f>Table1[[#This Row],[Date]]</f>
        <v>42134</v>
      </c>
    </row>
    <row r="132" spans="1:4">
      <c r="A132" s="2">
        <v>42135</v>
      </c>
      <c r="B132" s="2" t="s">
        <v>3</v>
      </c>
      <c r="C132">
        <v>144</v>
      </c>
      <c r="D132" s="5">
        <f>Table1[[#This Row],[Date]]</f>
        <v>42135</v>
      </c>
    </row>
    <row r="133" spans="1:4">
      <c r="A133" s="2">
        <v>42136</v>
      </c>
      <c r="B133" s="2" t="s">
        <v>4</v>
      </c>
      <c r="C133">
        <v>142</v>
      </c>
      <c r="D133" s="5">
        <f>Table1[[#This Row],[Date]]</f>
        <v>42136</v>
      </c>
    </row>
    <row r="134" spans="1:4">
      <c r="A134" s="2">
        <v>42137</v>
      </c>
      <c r="B134" s="2" t="s">
        <v>5</v>
      </c>
      <c r="C134">
        <v>137</v>
      </c>
      <c r="D134" s="5">
        <f>Table1[[#This Row],[Date]]</f>
        <v>42137</v>
      </c>
    </row>
    <row r="135" spans="1:4">
      <c r="A135" s="2">
        <v>42138</v>
      </c>
      <c r="B135" s="2" t="s">
        <v>6</v>
      </c>
      <c r="C135">
        <v>164</v>
      </c>
      <c r="D135" s="5">
        <f>Table1[[#This Row],[Date]]</f>
        <v>42138</v>
      </c>
    </row>
    <row r="136" spans="1:4">
      <c r="A136" s="2">
        <v>42139</v>
      </c>
      <c r="B136" s="2" t="s">
        <v>7</v>
      </c>
      <c r="C136">
        <v>208</v>
      </c>
      <c r="D136" s="5">
        <f>Table1[[#This Row],[Date]]</f>
        <v>42139</v>
      </c>
    </row>
    <row r="137" spans="1:4">
      <c r="A137" s="2">
        <v>42140</v>
      </c>
      <c r="B137" s="2" t="s">
        <v>8</v>
      </c>
      <c r="C137">
        <v>142</v>
      </c>
      <c r="D137" s="5">
        <f>Table1[[#This Row],[Date]]</f>
        <v>42140</v>
      </c>
    </row>
    <row r="138" spans="1:4">
      <c r="A138" s="2">
        <v>42141</v>
      </c>
      <c r="B138" s="2" t="s">
        <v>9</v>
      </c>
      <c r="C138">
        <v>109</v>
      </c>
      <c r="D138" s="5">
        <f>Table1[[#This Row],[Date]]</f>
        <v>42141</v>
      </c>
    </row>
    <row r="139" spans="1:4">
      <c r="A139" s="2">
        <v>42142</v>
      </c>
      <c r="B139" s="2" t="s">
        <v>3</v>
      </c>
      <c r="C139">
        <v>134</v>
      </c>
      <c r="D139" s="5">
        <f>Table1[[#This Row],[Date]]</f>
        <v>42142</v>
      </c>
    </row>
    <row r="140" spans="1:4">
      <c r="A140" s="2">
        <v>42143</v>
      </c>
      <c r="B140" s="2" t="s">
        <v>4</v>
      </c>
      <c r="C140">
        <v>119</v>
      </c>
      <c r="D140" s="5">
        <f>Table1[[#This Row],[Date]]</f>
        <v>42143</v>
      </c>
    </row>
    <row r="141" spans="1:4">
      <c r="A141" s="2">
        <v>42144</v>
      </c>
      <c r="B141" s="2" t="s">
        <v>5</v>
      </c>
      <c r="C141">
        <v>141</v>
      </c>
      <c r="D141" s="5">
        <f>Table1[[#This Row],[Date]]</f>
        <v>42144</v>
      </c>
    </row>
    <row r="142" spans="1:4">
      <c r="A142" s="2">
        <v>42145</v>
      </c>
      <c r="B142" s="2" t="s">
        <v>6</v>
      </c>
      <c r="C142">
        <v>123</v>
      </c>
      <c r="D142" s="5">
        <f>Table1[[#This Row],[Date]]</f>
        <v>42145</v>
      </c>
    </row>
    <row r="143" spans="1:4">
      <c r="A143" s="2">
        <v>42146</v>
      </c>
      <c r="B143" s="2" t="s">
        <v>7</v>
      </c>
      <c r="C143">
        <v>154</v>
      </c>
      <c r="D143" s="5">
        <f>Table1[[#This Row],[Date]]</f>
        <v>42146</v>
      </c>
    </row>
    <row r="144" spans="1:4">
      <c r="A144" s="2">
        <v>42147</v>
      </c>
      <c r="B144" s="2" t="s">
        <v>8</v>
      </c>
      <c r="C144">
        <v>148</v>
      </c>
      <c r="D144" s="5">
        <f>Table1[[#This Row],[Date]]</f>
        <v>42147</v>
      </c>
    </row>
    <row r="145" spans="1:4">
      <c r="A145" s="2">
        <v>42148</v>
      </c>
      <c r="B145" s="2" t="s">
        <v>9</v>
      </c>
      <c r="C145">
        <v>134</v>
      </c>
      <c r="D145" s="5">
        <f>Table1[[#This Row],[Date]]</f>
        <v>42148</v>
      </c>
    </row>
    <row r="146" spans="1:4">
      <c r="A146" s="2">
        <v>42149</v>
      </c>
      <c r="B146" s="2" t="s">
        <v>3</v>
      </c>
      <c r="C146">
        <v>125</v>
      </c>
      <c r="D146" s="5">
        <f>Table1[[#This Row],[Date]]</f>
        <v>42149</v>
      </c>
    </row>
    <row r="147" spans="1:4">
      <c r="A147" s="2">
        <v>42150</v>
      </c>
      <c r="B147" s="2" t="s">
        <v>4</v>
      </c>
      <c r="C147">
        <v>115</v>
      </c>
      <c r="D147" s="5">
        <f>Table1[[#This Row],[Date]]</f>
        <v>42150</v>
      </c>
    </row>
    <row r="148" spans="1:4">
      <c r="A148" s="2">
        <v>42151</v>
      </c>
      <c r="B148" s="2" t="s">
        <v>5</v>
      </c>
      <c r="C148">
        <v>124</v>
      </c>
      <c r="D148" s="5">
        <f>Table1[[#This Row],[Date]]</f>
        <v>42151</v>
      </c>
    </row>
    <row r="149" spans="1:4">
      <c r="A149" s="2">
        <v>42152</v>
      </c>
      <c r="B149" s="2" t="s">
        <v>6</v>
      </c>
      <c r="C149">
        <v>121</v>
      </c>
      <c r="D149" s="5">
        <f>Table1[[#This Row],[Date]]</f>
        <v>42152</v>
      </c>
    </row>
    <row r="150" spans="1:4">
      <c r="A150" s="2">
        <v>42153</v>
      </c>
      <c r="B150" s="2" t="s">
        <v>7</v>
      </c>
      <c r="C150">
        <v>181</v>
      </c>
      <c r="D150" s="5">
        <f>Table1[[#This Row],[Date]]</f>
        <v>42153</v>
      </c>
    </row>
    <row r="151" spans="1:4">
      <c r="A151" s="2">
        <v>42154</v>
      </c>
      <c r="B151" s="2" t="s">
        <v>8</v>
      </c>
      <c r="C151">
        <v>150</v>
      </c>
      <c r="D151" s="5">
        <f>Table1[[#This Row],[Date]]</f>
        <v>42154</v>
      </c>
    </row>
    <row r="152" spans="1:4">
      <c r="A152" s="2">
        <v>42155</v>
      </c>
      <c r="B152" s="2" t="s">
        <v>9</v>
      </c>
      <c r="C152">
        <v>108</v>
      </c>
      <c r="D152" s="5">
        <f>Table1[[#This Row],[Date]]</f>
        <v>42155</v>
      </c>
    </row>
    <row r="153" spans="1:4">
      <c r="A153" s="2">
        <v>42156</v>
      </c>
      <c r="B153" s="2" t="s">
        <v>3</v>
      </c>
      <c r="C153">
        <v>184</v>
      </c>
      <c r="D153" s="5">
        <f>Table1[[#This Row],[Date]]</f>
        <v>42156</v>
      </c>
    </row>
    <row r="154" spans="1:4">
      <c r="A154" s="2">
        <v>42157</v>
      </c>
      <c r="B154" s="2" t="s">
        <v>4</v>
      </c>
      <c r="C154">
        <v>147</v>
      </c>
      <c r="D154" s="5">
        <f>Table1[[#This Row],[Date]]</f>
        <v>42157</v>
      </c>
    </row>
    <row r="155" spans="1:4">
      <c r="A155" s="2">
        <v>42158</v>
      </c>
      <c r="B155" s="2" t="s">
        <v>5</v>
      </c>
      <c r="C155">
        <v>113</v>
      </c>
      <c r="D155" s="5">
        <f>Table1[[#This Row],[Date]]</f>
        <v>42158</v>
      </c>
    </row>
    <row r="156" spans="1:4">
      <c r="A156" s="2">
        <v>42159</v>
      </c>
      <c r="B156" s="2" t="s">
        <v>6</v>
      </c>
      <c r="C156">
        <v>141</v>
      </c>
      <c r="D156" s="5">
        <f>Table1[[#This Row],[Date]]</f>
        <v>42159</v>
      </c>
    </row>
    <row r="157" spans="1:4">
      <c r="A157" s="2">
        <v>42160</v>
      </c>
      <c r="B157" s="2" t="s">
        <v>7</v>
      </c>
      <c r="C157">
        <v>159</v>
      </c>
      <c r="D157" s="5">
        <f>Table1[[#This Row],[Date]]</f>
        <v>42160</v>
      </c>
    </row>
    <row r="158" spans="1:4">
      <c r="A158" s="2">
        <v>42161</v>
      </c>
      <c r="B158" s="2" t="s">
        <v>8</v>
      </c>
      <c r="C158">
        <v>136</v>
      </c>
      <c r="D158" s="5">
        <f>Table1[[#This Row],[Date]]</f>
        <v>42161</v>
      </c>
    </row>
    <row r="159" spans="1:4">
      <c r="A159" s="2">
        <v>42162</v>
      </c>
      <c r="B159" s="2" t="s">
        <v>9</v>
      </c>
      <c r="C159">
        <v>117</v>
      </c>
      <c r="D159" s="5">
        <f>Table1[[#This Row],[Date]]</f>
        <v>42162</v>
      </c>
    </row>
    <row r="160" spans="1:4">
      <c r="A160" s="2">
        <v>42163</v>
      </c>
      <c r="B160" s="2" t="s">
        <v>3</v>
      </c>
      <c r="C160">
        <v>136</v>
      </c>
      <c r="D160" s="5">
        <f>Table1[[#This Row],[Date]]</f>
        <v>42163</v>
      </c>
    </row>
    <row r="161" spans="1:4">
      <c r="A161" s="2">
        <v>42164</v>
      </c>
      <c r="B161" s="2" t="s">
        <v>4</v>
      </c>
      <c r="C161">
        <v>147</v>
      </c>
      <c r="D161" s="5">
        <f>Table1[[#This Row],[Date]]</f>
        <v>42164</v>
      </c>
    </row>
    <row r="162" spans="1:4">
      <c r="A162" s="2">
        <v>42165</v>
      </c>
      <c r="B162" s="2" t="s">
        <v>5</v>
      </c>
      <c r="C162">
        <v>124</v>
      </c>
      <c r="D162" s="5">
        <f>Table1[[#This Row],[Date]]</f>
        <v>42165</v>
      </c>
    </row>
    <row r="163" spans="1:4">
      <c r="A163" s="2">
        <v>42166</v>
      </c>
      <c r="B163" s="2" t="s">
        <v>6</v>
      </c>
      <c r="C163">
        <v>158</v>
      </c>
      <c r="D163" s="5">
        <f>Table1[[#This Row],[Date]]</f>
        <v>42166</v>
      </c>
    </row>
    <row r="164" spans="1:4">
      <c r="A164" s="2">
        <v>42167</v>
      </c>
      <c r="B164" s="2" t="s">
        <v>7</v>
      </c>
      <c r="C164">
        <v>131</v>
      </c>
      <c r="D164" s="5">
        <f>Table1[[#This Row],[Date]]</f>
        <v>42167</v>
      </c>
    </row>
    <row r="165" spans="1:4">
      <c r="A165" s="2">
        <v>42168</v>
      </c>
      <c r="B165" s="2" t="s">
        <v>8</v>
      </c>
      <c r="C165">
        <v>153</v>
      </c>
      <c r="D165" s="5">
        <f>Table1[[#This Row],[Date]]</f>
        <v>42168</v>
      </c>
    </row>
    <row r="166" spans="1:4">
      <c r="A166" s="2">
        <v>42169</v>
      </c>
      <c r="B166" s="2" t="s">
        <v>9</v>
      </c>
      <c r="C166">
        <v>113</v>
      </c>
      <c r="D166" s="5">
        <f>Table1[[#This Row],[Date]]</f>
        <v>42169</v>
      </c>
    </row>
    <row r="167" spans="1:4">
      <c r="A167" s="2">
        <v>42170</v>
      </c>
      <c r="B167" s="2" t="s">
        <v>3</v>
      </c>
      <c r="C167">
        <v>152</v>
      </c>
      <c r="D167" s="5">
        <f>Table1[[#This Row],[Date]]</f>
        <v>42170</v>
      </c>
    </row>
    <row r="168" spans="1:4">
      <c r="A168" s="2">
        <v>42171</v>
      </c>
      <c r="B168" s="2" t="s">
        <v>4</v>
      </c>
      <c r="C168">
        <v>116</v>
      </c>
      <c r="D168" s="5">
        <f>Table1[[#This Row],[Date]]</f>
        <v>42171</v>
      </c>
    </row>
    <row r="169" spans="1:4">
      <c r="A169" s="2">
        <v>42172</v>
      </c>
      <c r="B169" s="2" t="s">
        <v>5</v>
      </c>
      <c r="C169">
        <v>126</v>
      </c>
      <c r="D169" s="5">
        <f>Table1[[#This Row],[Date]]</f>
        <v>42172</v>
      </c>
    </row>
    <row r="170" spans="1:4">
      <c r="A170" s="2">
        <v>42173</v>
      </c>
      <c r="B170" s="2" t="s">
        <v>6</v>
      </c>
      <c r="C170">
        <v>116</v>
      </c>
      <c r="D170" s="5">
        <f>Table1[[#This Row],[Date]]</f>
        <v>42173</v>
      </c>
    </row>
    <row r="171" spans="1:4">
      <c r="A171" s="2">
        <v>42174</v>
      </c>
      <c r="B171" s="2" t="s">
        <v>7</v>
      </c>
      <c r="C171">
        <v>167</v>
      </c>
      <c r="D171" s="5">
        <f>Table1[[#This Row],[Date]]</f>
        <v>42174</v>
      </c>
    </row>
    <row r="172" spans="1:4">
      <c r="A172" s="2">
        <v>42175</v>
      </c>
      <c r="B172" s="2" t="s">
        <v>8</v>
      </c>
      <c r="C172">
        <v>128</v>
      </c>
      <c r="D172" s="5">
        <f>Table1[[#This Row],[Date]]</f>
        <v>42175</v>
      </c>
    </row>
    <row r="173" spans="1:4">
      <c r="A173" s="2">
        <v>42176</v>
      </c>
      <c r="B173" s="2" t="s">
        <v>9</v>
      </c>
      <c r="C173">
        <v>115</v>
      </c>
      <c r="D173" s="5">
        <f>Table1[[#This Row],[Date]]</f>
        <v>42176</v>
      </c>
    </row>
    <row r="174" spans="1:4">
      <c r="A174" s="2">
        <v>42177</v>
      </c>
      <c r="B174" s="2" t="s">
        <v>3</v>
      </c>
      <c r="C174">
        <v>140</v>
      </c>
      <c r="D174" s="5">
        <f>Table1[[#This Row],[Date]]</f>
        <v>42177</v>
      </c>
    </row>
    <row r="175" spans="1:4">
      <c r="A175" s="2">
        <v>42178</v>
      </c>
      <c r="B175" s="2" t="s">
        <v>4</v>
      </c>
      <c r="C175">
        <v>124</v>
      </c>
      <c r="D175" s="5">
        <f>Table1[[#This Row],[Date]]</f>
        <v>42178</v>
      </c>
    </row>
    <row r="176" spans="1:4">
      <c r="A176" s="2">
        <v>42179</v>
      </c>
      <c r="B176" s="2" t="s">
        <v>5</v>
      </c>
      <c r="C176">
        <v>137</v>
      </c>
      <c r="D176" s="5">
        <f>Table1[[#This Row],[Date]]</f>
        <v>42179</v>
      </c>
    </row>
    <row r="177" spans="1:4">
      <c r="A177" s="2">
        <v>42180</v>
      </c>
      <c r="B177" s="2" t="s">
        <v>6</v>
      </c>
      <c r="C177">
        <v>148</v>
      </c>
      <c r="D177" s="5">
        <f>Table1[[#This Row],[Date]]</f>
        <v>42180</v>
      </c>
    </row>
    <row r="178" spans="1:4">
      <c r="A178" s="2">
        <v>42181</v>
      </c>
      <c r="B178" s="2" t="s">
        <v>7</v>
      </c>
      <c r="C178">
        <v>163</v>
      </c>
      <c r="D178" s="5">
        <f>Table1[[#This Row],[Date]]</f>
        <v>42181</v>
      </c>
    </row>
    <row r="179" spans="1:4">
      <c r="A179" s="2">
        <v>42182</v>
      </c>
      <c r="B179" s="2" t="s">
        <v>8</v>
      </c>
      <c r="C179">
        <v>173</v>
      </c>
      <c r="D179" s="5">
        <f>Table1[[#This Row],[Date]]</f>
        <v>42182</v>
      </c>
    </row>
    <row r="180" spans="1:4">
      <c r="A180" s="2">
        <v>42183</v>
      </c>
      <c r="B180" s="2" t="s">
        <v>9</v>
      </c>
      <c r="C180">
        <v>95</v>
      </c>
      <c r="D180" s="5">
        <f>Table1[[#This Row],[Date]]</f>
        <v>42183</v>
      </c>
    </row>
    <row r="181" spans="1:4">
      <c r="A181" s="2">
        <v>42184</v>
      </c>
      <c r="B181" s="2" t="s">
        <v>3</v>
      </c>
      <c r="C181">
        <v>118</v>
      </c>
      <c r="D181" s="5">
        <f>Table1[[#This Row],[Date]]</f>
        <v>42184</v>
      </c>
    </row>
    <row r="182" spans="1:4">
      <c r="A182" s="2">
        <v>42185</v>
      </c>
      <c r="B182" s="2" t="s">
        <v>4</v>
      </c>
      <c r="C182">
        <v>130</v>
      </c>
      <c r="D182" s="5">
        <f>Table1[[#This Row],[Date]]</f>
        <v>42185</v>
      </c>
    </row>
    <row r="183" spans="1:4">
      <c r="A183" s="2">
        <v>42186</v>
      </c>
      <c r="B183" s="2" t="s">
        <v>5</v>
      </c>
      <c r="C183">
        <v>137</v>
      </c>
      <c r="D183" s="5">
        <f>Table1[[#This Row],[Date]]</f>
        <v>42186</v>
      </c>
    </row>
    <row r="184" spans="1:4">
      <c r="A184" s="2">
        <v>42187</v>
      </c>
      <c r="B184" s="2" t="s">
        <v>6</v>
      </c>
      <c r="C184">
        <v>138</v>
      </c>
      <c r="D184" s="5">
        <f>Table1[[#This Row],[Date]]</f>
        <v>42187</v>
      </c>
    </row>
    <row r="185" spans="1:4">
      <c r="A185" s="2">
        <v>42188</v>
      </c>
      <c r="B185" s="2" t="s">
        <v>7</v>
      </c>
      <c r="C185">
        <v>213</v>
      </c>
      <c r="D185" s="5">
        <f>Table1[[#This Row],[Date]]</f>
        <v>42188</v>
      </c>
    </row>
    <row r="186" spans="1:4">
      <c r="A186" s="2">
        <v>42189</v>
      </c>
      <c r="B186" s="2" t="s">
        <v>8</v>
      </c>
      <c r="C186">
        <v>234</v>
      </c>
      <c r="D186" s="5">
        <f>Table1[[#This Row],[Date]]</f>
        <v>42189</v>
      </c>
    </row>
    <row r="187" spans="1:4">
      <c r="A187" s="2">
        <v>42190</v>
      </c>
      <c r="B187" s="2" t="s">
        <v>9</v>
      </c>
      <c r="C187">
        <v>96</v>
      </c>
      <c r="D187" s="5">
        <f>Table1[[#This Row],[Date]]</f>
        <v>42190</v>
      </c>
    </row>
    <row r="188" spans="1:4">
      <c r="A188" s="2">
        <v>42191</v>
      </c>
      <c r="B188" s="2" t="s">
        <v>3</v>
      </c>
      <c r="C188">
        <v>130</v>
      </c>
      <c r="D188" s="5">
        <f>Table1[[#This Row],[Date]]</f>
        <v>42191</v>
      </c>
    </row>
    <row r="189" spans="1:4">
      <c r="A189" s="2">
        <v>42192</v>
      </c>
      <c r="B189" s="2" t="s">
        <v>4</v>
      </c>
      <c r="C189">
        <v>142</v>
      </c>
      <c r="D189" s="5">
        <f>Table1[[#This Row],[Date]]</f>
        <v>42192</v>
      </c>
    </row>
    <row r="190" spans="1:4">
      <c r="A190" s="2">
        <v>42193</v>
      </c>
      <c r="B190" s="2" t="s">
        <v>5</v>
      </c>
      <c r="C190">
        <v>142</v>
      </c>
      <c r="D190" s="5">
        <f>Table1[[#This Row],[Date]]</f>
        <v>42193</v>
      </c>
    </row>
    <row r="191" spans="1:4">
      <c r="A191" s="2">
        <v>42194</v>
      </c>
      <c r="B191" s="2" t="s">
        <v>6</v>
      </c>
      <c r="C191">
        <v>135</v>
      </c>
      <c r="D191" s="5">
        <f>Table1[[#This Row],[Date]]</f>
        <v>42194</v>
      </c>
    </row>
    <row r="192" spans="1:4">
      <c r="A192" s="2">
        <v>42195</v>
      </c>
      <c r="B192" s="2" t="s">
        <v>7</v>
      </c>
      <c r="C192">
        <v>148</v>
      </c>
      <c r="D192" s="5">
        <f>Table1[[#This Row],[Date]]</f>
        <v>42195</v>
      </c>
    </row>
    <row r="193" spans="1:4">
      <c r="A193" s="2">
        <v>42196</v>
      </c>
      <c r="B193" s="2" t="s">
        <v>8</v>
      </c>
      <c r="C193">
        <v>125</v>
      </c>
      <c r="D193" s="5">
        <f>Table1[[#This Row],[Date]]</f>
        <v>42196</v>
      </c>
    </row>
    <row r="194" spans="1:4">
      <c r="A194" s="2">
        <v>42197</v>
      </c>
      <c r="B194" s="2" t="s">
        <v>9</v>
      </c>
      <c r="C194">
        <v>128</v>
      </c>
      <c r="D194" s="5">
        <f>Table1[[#This Row],[Date]]</f>
        <v>42197</v>
      </c>
    </row>
    <row r="195" spans="1:4">
      <c r="A195" s="2">
        <v>42198</v>
      </c>
      <c r="B195" s="2" t="s">
        <v>3</v>
      </c>
      <c r="C195">
        <v>124</v>
      </c>
      <c r="D195" s="5">
        <f>Table1[[#This Row],[Date]]</f>
        <v>42198</v>
      </c>
    </row>
    <row r="196" spans="1:4">
      <c r="A196" s="2">
        <v>42199</v>
      </c>
      <c r="B196" s="2" t="s">
        <v>4</v>
      </c>
      <c r="C196">
        <v>119</v>
      </c>
      <c r="D196" s="5">
        <f>Table1[[#This Row],[Date]]</f>
        <v>42199</v>
      </c>
    </row>
    <row r="197" spans="1:4">
      <c r="A197" s="2">
        <v>42200</v>
      </c>
      <c r="B197" s="2" t="s">
        <v>5</v>
      </c>
      <c r="C197">
        <v>154</v>
      </c>
      <c r="D197" s="5">
        <f>Table1[[#This Row],[Date]]</f>
        <v>42200</v>
      </c>
    </row>
    <row r="198" spans="1:4">
      <c r="A198" s="2">
        <v>42201</v>
      </c>
      <c r="B198" s="2" t="s">
        <v>6</v>
      </c>
      <c r="C198">
        <v>146</v>
      </c>
      <c r="D198" s="5">
        <f>Table1[[#This Row],[Date]]</f>
        <v>42201</v>
      </c>
    </row>
    <row r="199" spans="1:4">
      <c r="A199" s="2">
        <v>42202</v>
      </c>
      <c r="B199" s="2" t="s">
        <v>7</v>
      </c>
      <c r="C199">
        <v>187</v>
      </c>
      <c r="D199" s="5">
        <f>Table1[[#This Row],[Date]]</f>
        <v>42202</v>
      </c>
    </row>
    <row r="200" spans="1:4">
      <c r="A200" s="2">
        <v>42203</v>
      </c>
      <c r="B200" s="2" t="s">
        <v>8</v>
      </c>
      <c r="C200">
        <v>130</v>
      </c>
      <c r="D200" s="5">
        <f>Table1[[#This Row],[Date]]</f>
        <v>42203</v>
      </c>
    </row>
    <row r="201" spans="1:4">
      <c r="A201" s="2">
        <v>42204</v>
      </c>
      <c r="B201" s="2" t="s">
        <v>9</v>
      </c>
      <c r="C201">
        <v>121</v>
      </c>
      <c r="D201" s="5">
        <f>Table1[[#This Row],[Date]]</f>
        <v>42204</v>
      </c>
    </row>
    <row r="202" spans="1:4">
      <c r="A202" s="2">
        <v>42205</v>
      </c>
      <c r="B202" s="2" t="s">
        <v>3</v>
      </c>
      <c r="C202">
        <v>149</v>
      </c>
      <c r="D202" s="5">
        <f>Table1[[#This Row],[Date]]</f>
        <v>42205</v>
      </c>
    </row>
    <row r="203" spans="1:4">
      <c r="A203" s="2">
        <v>42206</v>
      </c>
      <c r="B203" s="2" t="s">
        <v>4</v>
      </c>
      <c r="C203">
        <v>119</v>
      </c>
      <c r="D203" s="5">
        <f>Table1[[#This Row],[Date]]</f>
        <v>42206</v>
      </c>
    </row>
    <row r="204" spans="1:4">
      <c r="A204" s="2">
        <v>42207</v>
      </c>
      <c r="B204" s="2" t="s">
        <v>5</v>
      </c>
      <c r="C204">
        <v>137</v>
      </c>
      <c r="D204" s="5">
        <f>Table1[[#This Row],[Date]]</f>
        <v>42207</v>
      </c>
    </row>
    <row r="205" spans="1:4">
      <c r="A205" s="2">
        <v>42208</v>
      </c>
      <c r="B205" s="2" t="s">
        <v>6</v>
      </c>
      <c r="C205">
        <v>137</v>
      </c>
      <c r="D205" s="5">
        <f>Table1[[#This Row],[Date]]</f>
        <v>42208</v>
      </c>
    </row>
    <row r="206" spans="1:4">
      <c r="A206" s="2">
        <v>42209</v>
      </c>
      <c r="B206" s="2" t="s">
        <v>7</v>
      </c>
      <c r="C206">
        <v>196</v>
      </c>
      <c r="D206" s="5">
        <f>Table1[[#This Row],[Date]]</f>
        <v>42209</v>
      </c>
    </row>
    <row r="207" spans="1:4">
      <c r="A207" s="2">
        <v>42210</v>
      </c>
      <c r="B207" s="2" t="s">
        <v>8</v>
      </c>
      <c r="C207">
        <v>135</v>
      </c>
      <c r="D207" s="5">
        <f>Table1[[#This Row],[Date]]</f>
        <v>42210</v>
      </c>
    </row>
    <row r="208" spans="1:4">
      <c r="A208" s="2">
        <v>42211</v>
      </c>
      <c r="B208" s="2" t="s">
        <v>9</v>
      </c>
      <c r="C208">
        <v>112</v>
      </c>
      <c r="D208" s="5">
        <f>Table1[[#This Row],[Date]]</f>
        <v>42211</v>
      </c>
    </row>
    <row r="209" spans="1:4">
      <c r="A209" s="2">
        <v>42212</v>
      </c>
      <c r="B209" s="2" t="s">
        <v>3</v>
      </c>
      <c r="C209">
        <v>129</v>
      </c>
      <c r="D209" s="5">
        <f>Table1[[#This Row],[Date]]</f>
        <v>42212</v>
      </c>
    </row>
    <row r="210" spans="1:4">
      <c r="A210" s="2">
        <v>42213</v>
      </c>
      <c r="B210" s="2" t="s">
        <v>4</v>
      </c>
      <c r="C210">
        <v>132</v>
      </c>
      <c r="D210" s="5">
        <f>Table1[[#This Row],[Date]]</f>
        <v>42213</v>
      </c>
    </row>
    <row r="211" spans="1:4">
      <c r="A211" s="2">
        <v>42214</v>
      </c>
      <c r="B211" s="2" t="s">
        <v>5</v>
      </c>
      <c r="C211">
        <v>116</v>
      </c>
      <c r="D211" s="5">
        <f>Table1[[#This Row],[Date]]</f>
        <v>42214</v>
      </c>
    </row>
    <row r="212" spans="1:4">
      <c r="A212" s="2">
        <v>42215</v>
      </c>
      <c r="B212" s="2" t="s">
        <v>6</v>
      </c>
      <c r="C212">
        <v>149</v>
      </c>
      <c r="D212" s="5">
        <f>Table1[[#This Row],[Date]]</f>
        <v>42215</v>
      </c>
    </row>
    <row r="213" spans="1:4">
      <c r="A213" s="2">
        <v>42216</v>
      </c>
      <c r="B213" s="2" t="s">
        <v>7</v>
      </c>
      <c r="C213">
        <v>132</v>
      </c>
      <c r="D213" s="5">
        <f>Table1[[#This Row],[Date]]</f>
        <v>42216</v>
      </c>
    </row>
    <row r="214" spans="1:4">
      <c r="A214" s="2">
        <v>42217</v>
      </c>
      <c r="B214" s="2" t="s">
        <v>8</v>
      </c>
      <c r="C214">
        <v>154</v>
      </c>
      <c r="D214" s="5">
        <f>Table1[[#This Row],[Date]]</f>
        <v>42217</v>
      </c>
    </row>
    <row r="215" spans="1:4">
      <c r="A215" s="2">
        <v>42218</v>
      </c>
      <c r="B215" s="2" t="s">
        <v>9</v>
      </c>
      <c r="C215">
        <v>114</v>
      </c>
      <c r="D215" s="5">
        <f>Table1[[#This Row],[Date]]</f>
        <v>42218</v>
      </c>
    </row>
    <row r="216" spans="1:4">
      <c r="A216" s="2">
        <v>42219</v>
      </c>
      <c r="B216" s="2" t="s">
        <v>3</v>
      </c>
      <c r="C216">
        <v>117</v>
      </c>
      <c r="D216" s="5">
        <f>Table1[[#This Row],[Date]]</f>
        <v>42219</v>
      </c>
    </row>
    <row r="217" spans="1:4">
      <c r="A217" s="2">
        <v>42220</v>
      </c>
      <c r="B217" s="2" t="s">
        <v>4</v>
      </c>
      <c r="C217">
        <v>122</v>
      </c>
      <c r="D217" s="5">
        <f>Table1[[#This Row],[Date]]</f>
        <v>42220</v>
      </c>
    </row>
    <row r="218" spans="1:4">
      <c r="A218" s="2">
        <v>42221</v>
      </c>
      <c r="B218" s="2" t="s">
        <v>5</v>
      </c>
      <c r="C218">
        <v>130</v>
      </c>
      <c r="D218" s="5">
        <f>Table1[[#This Row],[Date]]</f>
        <v>42221</v>
      </c>
    </row>
    <row r="219" spans="1:4">
      <c r="A219" s="2">
        <v>42222</v>
      </c>
      <c r="B219" s="2" t="s">
        <v>6</v>
      </c>
      <c r="C219">
        <v>132</v>
      </c>
      <c r="D219" s="5">
        <f>Table1[[#This Row],[Date]]</f>
        <v>42222</v>
      </c>
    </row>
    <row r="220" spans="1:4">
      <c r="A220" s="2">
        <v>42223</v>
      </c>
      <c r="B220" s="2" t="s">
        <v>7</v>
      </c>
      <c r="C220">
        <v>161</v>
      </c>
      <c r="D220" s="5">
        <f>Table1[[#This Row],[Date]]</f>
        <v>42223</v>
      </c>
    </row>
    <row r="221" spans="1:4">
      <c r="A221" s="2">
        <v>42224</v>
      </c>
      <c r="B221" s="2" t="s">
        <v>8</v>
      </c>
      <c r="C221">
        <v>167</v>
      </c>
      <c r="D221" s="5">
        <f>Table1[[#This Row],[Date]]</f>
        <v>42224</v>
      </c>
    </row>
    <row r="222" spans="1:4">
      <c r="A222" s="2">
        <v>42225</v>
      </c>
      <c r="B222" s="2" t="s">
        <v>9</v>
      </c>
      <c r="C222">
        <v>126</v>
      </c>
      <c r="D222" s="5">
        <f>Table1[[#This Row],[Date]]</f>
        <v>42225</v>
      </c>
    </row>
    <row r="223" spans="1:4">
      <c r="A223" s="2">
        <v>42226</v>
      </c>
      <c r="B223" s="2" t="s">
        <v>3</v>
      </c>
      <c r="C223">
        <v>125</v>
      </c>
      <c r="D223" s="5">
        <f>Table1[[#This Row],[Date]]</f>
        <v>42226</v>
      </c>
    </row>
    <row r="224" spans="1:4">
      <c r="A224" s="2">
        <v>42227</v>
      </c>
      <c r="B224" s="2" t="s">
        <v>4</v>
      </c>
      <c r="C224">
        <v>137</v>
      </c>
      <c r="D224" s="5">
        <f>Table1[[#This Row],[Date]]</f>
        <v>42227</v>
      </c>
    </row>
    <row r="225" spans="1:4">
      <c r="A225" s="2">
        <v>42228</v>
      </c>
      <c r="B225" s="2" t="s">
        <v>5</v>
      </c>
      <c r="C225">
        <v>144</v>
      </c>
      <c r="D225" s="5">
        <f>Table1[[#This Row],[Date]]</f>
        <v>42228</v>
      </c>
    </row>
    <row r="226" spans="1:4">
      <c r="A226" s="2">
        <v>42229</v>
      </c>
      <c r="B226" s="2" t="s">
        <v>6</v>
      </c>
      <c r="C226">
        <v>132</v>
      </c>
      <c r="D226" s="5">
        <f>Table1[[#This Row],[Date]]</f>
        <v>42229</v>
      </c>
    </row>
    <row r="227" spans="1:4">
      <c r="A227" s="2">
        <v>42230</v>
      </c>
      <c r="B227" s="2" t="s">
        <v>7</v>
      </c>
      <c r="C227">
        <v>188</v>
      </c>
      <c r="D227" s="5">
        <f>Table1[[#This Row],[Date]]</f>
        <v>42230</v>
      </c>
    </row>
    <row r="228" spans="1:4">
      <c r="A228" s="2">
        <v>42231</v>
      </c>
      <c r="B228" s="2" t="s">
        <v>8</v>
      </c>
      <c r="C228">
        <v>140</v>
      </c>
      <c r="D228" s="5">
        <f>Table1[[#This Row],[Date]]</f>
        <v>42231</v>
      </c>
    </row>
    <row r="229" spans="1:4">
      <c r="A229" s="2">
        <v>42232</v>
      </c>
      <c r="B229" s="2" t="s">
        <v>9</v>
      </c>
      <c r="C229">
        <v>128</v>
      </c>
      <c r="D229" s="5">
        <f>Table1[[#This Row],[Date]]</f>
        <v>42232</v>
      </c>
    </row>
    <row r="230" spans="1:4">
      <c r="A230" s="2">
        <v>42233</v>
      </c>
      <c r="B230" s="2" t="s">
        <v>3</v>
      </c>
      <c r="C230">
        <v>161</v>
      </c>
      <c r="D230" s="5">
        <f>Table1[[#This Row],[Date]]</f>
        <v>42233</v>
      </c>
    </row>
    <row r="231" spans="1:4">
      <c r="A231" s="2">
        <v>42234</v>
      </c>
      <c r="B231" s="2" t="s">
        <v>4</v>
      </c>
      <c r="C231">
        <v>128</v>
      </c>
      <c r="D231" s="5">
        <f>Table1[[#This Row],[Date]]</f>
        <v>42234</v>
      </c>
    </row>
    <row r="232" spans="1:4">
      <c r="A232" s="2">
        <v>42235</v>
      </c>
      <c r="B232" s="2" t="s">
        <v>5</v>
      </c>
      <c r="C232">
        <v>138</v>
      </c>
      <c r="D232" s="5">
        <f>Table1[[#This Row],[Date]]</f>
        <v>42235</v>
      </c>
    </row>
    <row r="233" spans="1:4">
      <c r="A233" s="2">
        <v>42236</v>
      </c>
      <c r="B233" s="2" t="s">
        <v>6</v>
      </c>
      <c r="C233">
        <v>116</v>
      </c>
      <c r="D233" s="5">
        <f>Table1[[#This Row],[Date]]</f>
        <v>42236</v>
      </c>
    </row>
    <row r="234" spans="1:4">
      <c r="A234" s="2">
        <v>42237</v>
      </c>
      <c r="B234" s="2" t="s">
        <v>7</v>
      </c>
      <c r="C234">
        <v>163</v>
      </c>
      <c r="D234" s="5">
        <f>Table1[[#This Row],[Date]]</f>
        <v>42237</v>
      </c>
    </row>
    <row r="235" spans="1:4">
      <c r="A235" s="2">
        <v>42238</v>
      </c>
      <c r="B235" s="2" t="s">
        <v>8</v>
      </c>
      <c r="C235">
        <v>148</v>
      </c>
      <c r="D235" s="5">
        <f>Table1[[#This Row],[Date]]</f>
        <v>42238</v>
      </c>
    </row>
    <row r="236" spans="1:4">
      <c r="A236" s="2">
        <v>42239</v>
      </c>
      <c r="B236" s="2" t="s">
        <v>9</v>
      </c>
      <c r="C236">
        <v>105</v>
      </c>
      <c r="D236" s="5">
        <f>Table1[[#This Row],[Date]]</f>
        <v>42239</v>
      </c>
    </row>
    <row r="237" spans="1:4">
      <c r="A237" s="2">
        <v>42240</v>
      </c>
      <c r="B237" s="2" t="s">
        <v>3</v>
      </c>
      <c r="C237">
        <v>106</v>
      </c>
      <c r="D237" s="5">
        <f>Table1[[#This Row],[Date]]</f>
        <v>42240</v>
      </c>
    </row>
    <row r="238" spans="1:4">
      <c r="A238" s="2">
        <v>42241</v>
      </c>
      <c r="B238" s="2" t="s">
        <v>4</v>
      </c>
      <c r="C238">
        <v>115</v>
      </c>
      <c r="D238" s="5">
        <f>Table1[[#This Row],[Date]]</f>
        <v>42241</v>
      </c>
    </row>
    <row r="239" spans="1:4">
      <c r="A239" s="2">
        <v>42242</v>
      </c>
      <c r="B239" s="2" t="s">
        <v>5</v>
      </c>
      <c r="C239">
        <v>139</v>
      </c>
      <c r="D239" s="5">
        <f>Table1[[#This Row],[Date]]</f>
        <v>42242</v>
      </c>
    </row>
    <row r="240" spans="1:4">
      <c r="A240" s="2">
        <v>42243</v>
      </c>
      <c r="B240" s="2" t="s">
        <v>6</v>
      </c>
      <c r="C240">
        <v>128</v>
      </c>
      <c r="D240" s="5">
        <f>Table1[[#This Row],[Date]]</f>
        <v>42243</v>
      </c>
    </row>
    <row r="241" spans="1:4">
      <c r="A241" s="2">
        <v>42244</v>
      </c>
      <c r="B241" s="2" t="s">
        <v>7</v>
      </c>
      <c r="C241">
        <v>161</v>
      </c>
      <c r="D241" s="5">
        <f>Table1[[#This Row],[Date]]</f>
        <v>42244</v>
      </c>
    </row>
    <row r="242" spans="1:4">
      <c r="A242" s="2">
        <v>42245</v>
      </c>
      <c r="B242" s="2" t="s">
        <v>8</v>
      </c>
      <c r="C242">
        <v>123</v>
      </c>
      <c r="D242" s="5">
        <f>Table1[[#This Row],[Date]]</f>
        <v>42245</v>
      </c>
    </row>
    <row r="243" spans="1:4">
      <c r="A243" s="2">
        <v>42246</v>
      </c>
      <c r="B243" s="2" t="s">
        <v>9</v>
      </c>
      <c r="C243">
        <v>94</v>
      </c>
      <c r="D243" s="5">
        <f>Table1[[#This Row],[Date]]</f>
        <v>42246</v>
      </c>
    </row>
    <row r="244" spans="1:4">
      <c r="A244" s="2">
        <v>42247</v>
      </c>
      <c r="B244" s="2" t="s">
        <v>3</v>
      </c>
      <c r="C244">
        <v>126</v>
      </c>
      <c r="D244" s="5">
        <f>Table1[[#This Row],[Date]]</f>
        <v>42247</v>
      </c>
    </row>
    <row r="245" spans="1:4">
      <c r="A245" s="2">
        <v>42248</v>
      </c>
      <c r="B245" s="2" t="s">
        <v>4</v>
      </c>
      <c r="C245">
        <v>146</v>
      </c>
      <c r="D245" s="5">
        <f>Table1[[#This Row],[Date]]</f>
        <v>42248</v>
      </c>
    </row>
    <row r="246" spans="1:4">
      <c r="A246" s="2">
        <v>42249</v>
      </c>
      <c r="B246" s="2" t="s">
        <v>5</v>
      </c>
      <c r="C246">
        <v>111</v>
      </c>
      <c r="D246" s="5">
        <f>Table1[[#This Row],[Date]]</f>
        <v>42249</v>
      </c>
    </row>
    <row r="247" spans="1:4">
      <c r="A247" s="2">
        <v>42250</v>
      </c>
      <c r="B247" s="2" t="s">
        <v>6</v>
      </c>
      <c r="C247">
        <v>138</v>
      </c>
      <c r="D247" s="5">
        <f>Table1[[#This Row],[Date]]</f>
        <v>42250</v>
      </c>
    </row>
    <row r="248" spans="1:4">
      <c r="A248" s="2">
        <v>42251</v>
      </c>
      <c r="B248" s="2" t="s">
        <v>7</v>
      </c>
      <c r="C248">
        <v>179</v>
      </c>
      <c r="D248" s="5">
        <f>Table1[[#This Row],[Date]]</f>
        <v>42251</v>
      </c>
    </row>
    <row r="249" spans="1:4">
      <c r="A249" s="2">
        <v>42252</v>
      </c>
      <c r="B249" s="2" t="s">
        <v>8</v>
      </c>
      <c r="C249">
        <v>153</v>
      </c>
      <c r="D249" s="5">
        <f>Table1[[#This Row],[Date]]</f>
        <v>42252</v>
      </c>
    </row>
    <row r="250" spans="1:4">
      <c r="A250" s="2">
        <v>42253</v>
      </c>
      <c r="B250" s="2" t="s">
        <v>9</v>
      </c>
      <c r="C250">
        <v>92</v>
      </c>
      <c r="D250" s="5">
        <f>Table1[[#This Row],[Date]]</f>
        <v>42253</v>
      </c>
    </row>
    <row r="251" spans="1:4">
      <c r="A251" s="2">
        <v>42254</v>
      </c>
      <c r="B251" s="2" t="s">
        <v>3</v>
      </c>
      <c r="C251">
        <v>140</v>
      </c>
      <c r="D251" s="5">
        <f>Table1[[#This Row],[Date]]</f>
        <v>42254</v>
      </c>
    </row>
    <row r="252" spans="1:4">
      <c r="A252" s="2">
        <v>42255</v>
      </c>
      <c r="B252" s="2" t="s">
        <v>4</v>
      </c>
      <c r="C252">
        <v>133</v>
      </c>
      <c r="D252" s="5">
        <f>Table1[[#This Row],[Date]]</f>
        <v>42255</v>
      </c>
    </row>
    <row r="253" spans="1:4">
      <c r="A253" s="2">
        <v>42256</v>
      </c>
      <c r="B253" s="2" t="s">
        <v>5</v>
      </c>
      <c r="C253">
        <v>157</v>
      </c>
      <c r="D253" s="5">
        <f>Table1[[#This Row],[Date]]</f>
        <v>42256</v>
      </c>
    </row>
    <row r="254" spans="1:4">
      <c r="A254" s="2">
        <v>42257</v>
      </c>
      <c r="B254" s="2" t="s">
        <v>6</v>
      </c>
      <c r="C254">
        <v>148</v>
      </c>
      <c r="D254" s="5">
        <f>Table1[[#This Row],[Date]]</f>
        <v>42257</v>
      </c>
    </row>
    <row r="255" spans="1:4">
      <c r="A255" s="2">
        <v>42258</v>
      </c>
      <c r="B255" s="2" t="s">
        <v>7</v>
      </c>
      <c r="C255">
        <v>167</v>
      </c>
      <c r="D255" s="5">
        <f>Table1[[#This Row],[Date]]</f>
        <v>42258</v>
      </c>
    </row>
    <row r="256" spans="1:4">
      <c r="A256" s="2">
        <v>42259</v>
      </c>
      <c r="B256" s="2" t="s">
        <v>8</v>
      </c>
      <c r="C256">
        <v>156</v>
      </c>
      <c r="D256" s="5">
        <f>Table1[[#This Row],[Date]]</f>
        <v>42259</v>
      </c>
    </row>
    <row r="257" spans="1:4">
      <c r="A257" s="2">
        <v>42260</v>
      </c>
      <c r="B257" s="2" t="s">
        <v>9</v>
      </c>
      <c r="C257">
        <v>108</v>
      </c>
      <c r="D257" s="5">
        <f>Table1[[#This Row],[Date]]</f>
        <v>42260</v>
      </c>
    </row>
    <row r="258" spans="1:4">
      <c r="A258" s="2">
        <v>42261</v>
      </c>
      <c r="B258" s="2" t="s">
        <v>3</v>
      </c>
      <c r="C258">
        <v>129</v>
      </c>
      <c r="D258" s="5">
        <f>Table1[[#This Row],[Date]]</f>
        <v>42261</v>
      </c>
    </row>
    <row r="259" spans="1:4">
      <c r="A259" s="2">
        <v>42262</v>
      </c>
      <c r="B259" s="2" t="s">
        <v>4</v>
      </c>
      <c r="C259">
        <v>158</v>
      </c>
      <c r="D259" s="5">
        <f>Table1[[#This Row],[Date]]</f>
        <v>42262</v>
      </c>
    </row>
    <row r="260" spans="1:4">
      <c r="A260" s="2">
        <v>42263</v>
      </c>
      <c r="B260" s="2" t="s">
        <v>5</v>
      </c>
      <c r="C260">
        <v>136</v>
      </c>
      <c r="D260" s="5">
        <f>Table1[[#This Row],[Date]]</f>
        <v>42263</v>
      </c>
    </row>
    <row r="261" spans="1:4">
      <c r="A261" s="2">
        <v>42264</v>
      </c>
      <c r="B261" s="2" t="s">
        <v>6</v>
      </c>
      <c r="C261">
        <v>138</v>
      </c>
      <c r="D261" s="5">
        <f>Table1[[#This Row],[Date]]</f>
        <v>42264</v>
      </c>
    </row>
    <row r="262" spans="1:4">
      <c r="A262" s="2">
        <v>42265</v>
      </c>
      <c r="B262" s="2" t="s">
        <v>7</v>
      </c>
      <c r="C262">
        <v>164</v>
      </c>
      <c r="D262" s="5">
        <f>Table1[[#This Row],[Date]]</f>
        <v>42265</v>
      </c>
    </row>
    <row r="263" spans="1:4">
      <c r="A263" s="2">
        <v>42266</v>
      </c>
      <c r="B263" s="2" t="s">
        <v>8</v>
      </c>
      <c r="C263">
        <v>141</v>
      </c>
      <c r="D263" s="5">
        <f>Table1[[#This Row],[Date]]</f>
        <v>42266</v>
      </c>
    </row>
    <row r="264" spans="1:4">
      <c r="A264" s="2">
        <v>42267</v>
      </c>
      <c r="B264" s="2" t="s">
        <v>9</v>
      </c>
      <c r="C264">
        <v>108</v>
      </c>
      <c r="D264" s="5">
        <f>Table1[[#This Row],[Date]]</f>
        <v>42267</v>
      </c>
    </row>
    <row r="265" spans="1:4">
      <c r="A265" s="2">
        <v>42268</v>
      </c>
      <c r="B265" s="2" t="s">
        <v>3</v>
      </c>
      <c r="C265">
        <v>132</v>
      </c>
      <c r="D265" s="5">
        <f>Table1[[#This Row],[Date]]</f>
        <v>42268</v>
      </c>
    </row>
    <row r="266" spans="1:4">
      <c r="A266" s="2">
        <v>42269</v>
      </c>
      <c r="B266" s="2" t="s">
        <v>4</v>
      </c>
      <c r="C266">
        <v>131</v>
      </c>
      <c r="D266" s="5">
        <f>Table1[[#This Row],[Date]]</f>
        <v>42269</v>
      </c>
    </row>
    <row r="267" spans="1:4">
      <c r="A267" s="2">
        <v>42270</v>
      </c>
      <c r="B267" s="2" t="s">
        <v>5</v>
      </c>
      <c r="C267">
        <v>133</v>
      </c>
      <c r="D267" s="5">
        <f>Table1[[#This Row],[Date]]</f>
        <v>42270</v>
      </c>
    </row>
    <row r="268" spans="1:4">
      <c r="A268" s="2">
        <v>42273</v>
      </c>
      <c r="B268" s="2" t="s">
        <v>8</v>
      </c>
      <c r="C268">
        <v>139</v>
      </c>
      <c r="D268" s="5">
        <f>Table1[[#This Row],[Date]]</f>
        <v>42273</v>
      </c>
    </row>
    <row r="269" spans="1:4">
      <c r="A269" s="2">
        <v>42274</v>
      </c>
      <c r="B269" s="2" t="s">
        <v>9</v>
      </c>
      <c r="C269">
        <v>139</v>
      </c>
      <c r="D269" s="5">
        <f>Table1[[#This Row],[Date]]</f>
        <v>42274</v>
      </c>
    </row>
    <row r="270" spans="1:4">
      <c r="A270" s="2">
        <v>42275</v>
      </c>
      <c r="B270" s="2" t="s">
        <v>3</v>
      </c>
      <c r="C270">
        <v>121</v>
      </c>
      <c r="D270" s="5">
        <f>Table1[[#This Row],[Date]]</f>
        <v>42275</v>
      </c>
    </row>
    <row r="271" spans="1:4">
      <c r="A271" s="2">
        <v>42276</v>
      </c>
      <c r="B271" s="2" t="s">
        <v>4</v>
      </c>
      <c r="C271">
        <v>163</v>
      </c>
      <c r="D271" s="5">
        <f>Table1[[#This Row],[Date]]</f>
        <v>42276</v>
      </c>
    </row>
    <row r="272" spans="1:4">
      <c r="A272" s="2">
        <v>42277</v>
      </c>
      <c r="B272" s="2" t="s">
        <v>5</v>
      </c>
      <c r="C272">
        <v>130</v>
      </c>
      <c r="D272" s="5">
        <f>Table1[[#This Row],[Date]]</f>
        <v>42277</v>
      </c>
    </row>
    <row r="273" spans="1:4">
      <c r="A273" s="2">
        <v>42278</v>
      </c>
      <c r="B273" s="2" t="s">
        <v>6</v>
      </c>
      <c r="C273">
        <v>194</v>
      </c>
      <c r="D273" s="5">
        <f>Table1[[#This Row],[Date]]</f>
        <v>42278</v>
      </c>
    </row>
    <row r="274" spans="1:4">
      <c r="A274" s="2">
        <v>42279</v>
      </c>
      <c r="B274" s="2" t="s">
        <v>7</v>
      </c>
      <c r="C274">
        <v>125</v>
      </c>
      <c r="D274" s="5">
        <f>Table1[[#This Row],[Date]]</f>
        <v>42279</v>
      </c>
    </row>
    <row r="275" spans="1:4">
      <c r="A275" s="2">
        <v>42280</v>
      </c>
      <c r="B275" s="2" t="s">
        <v>8</v>
      </c>
      <c r="C275">
        <v>147</v>
      </c>
      <c r="D275" s="5">
        <f>Table1[[#This Row],[Date]]</f>
        <v>42280</v>
      </c>
    </row>
    <row r="276" spans="1:4">
      <c r="A276" s="2">
        <v>42281</v>
      </c>
      <c r="B276" s="2" t="s">
        <v>9</v>
      </c>
      <c r="C276">
        <v>128</v>
      </c>
      <c r="D276" s="5">
        <f>Table1[[#This Row],[Date]]</f>
        <v>42281</v>
      </c>
    </row>
    <row r="277" spans="1:4">
      <c r="A277" s="2">
        <v>42283</v>
      </c>
      <c r="B277" s="2" t="s">
        <v>4</v>
      </c>
      <c r="C277">
        <v>136</v>
      </c>
      <c r="D277" s="5">
        <f>Table1[[#This Row],[Date]]</f>
        <v>42283</v>
      </c>
    </row>
    <row r="278" spans="1:4">
      <c r="A278" s="2">
        <v>42284</v>
      </c>
      <c r="B278" s="2" t="s">
        <v>5</v>
      </c>
      <c r="C278">
        <v>133</v>
      </c>
      <c r="D278" s="5">
        <f>Table1[[#This Row],[Date]]</f>
        <v>42284</v>
      </c>
    </row>
    <row r="279" spans="1:4">
      <c r="A279" s="2">
        <v>42285</v>
      </c>
      <c r="B279" s="2" t="s">
        <v>6</v>
      </c>
      <c r="C279">
        <v>119</v>
      </c>
      <c r="D279" s="5">
        <f>Table1[[#This Row],[Date]]</f>
        <v>42285</v>
      </c>
    </row>
    <row r="280" spans="1:4">
      <c r="A280" s="2">
        <v>42286</v>
      </c>
      <c r="B280" s="2" t="s">
        <v>7</v>
      </c>
      <c r="C280">
        <v>147</v>
      </c>
      <c r="D280" s="5">
        <f>Table1[[#This Row],[Date]]</f>
        <v>42286</v>
      </c>
    </row>
    <row r="281" spans="1:4">
      <c r="A281" s="2">
        <v>42287</v>
      </c>
      <c r="B281" s="2" t="s">
        <v>8</v>
      </c>
      <c r="C281">
        <v>141</v>
      </c>
      <c r="D281" s="5">
        <f>Table1[[#This Row],[Date]]</f>
        <v>42287</v>
      </c>
    </row>
    <row r="282" spans="1:4">
      <c r="A282" s="2">
        <v>42288</v>
      </c>
      <c r="B282" s="2" t="s">
        <v>9</v>
      </c>
      <c r="C282">
        <v>118</v>
      </c>
      <c r="D282" s="5">
        <f>Table1[[#This Row],[Date]]</f>
        <v>42288</v>
      </c>
    </row>
    <row r="283" spans="1:4">
      <c r="A283" s="2">
        <v>42290</v>
      </c>
      <c r="B283" s="2" t="s">
        <v>4</v>
      </c>
      <c r="C283">
        <v>141</v>
      </c>
      <c r="D283" s="5">
        <f>Table1[[#This Row],[Date]]</f>
        <v>42290</v>
      </c>
    </row>
    <row r="284" spans="1:4">
      <c r="A284" s="2">
        <v>42291</v>
      </c>
      <c r="B284" s="2" t="s">
        <v>5</v>
      </c>
      <c r="C284">
        <v>132</v>
      </c>
      <c r="D284" s="5">
        <f>Table1[[#This Row],[Date]]</f>
        <v>42291</v>
      </c>
    </row>
    <row r="285" spans="1:4">
      <c r="A285" s="2">
        <v>42292</v>
      </c>
      <c r="B285" s="2" t="s">
        <v>6</v>
      </c>
      <c r="C285">
        <v>262</v>
      </c>
      <c r="D285" s="5">
        <f>Table1[[#This Row],[Date]]</f>
        <v>42292</v>
      </c>
    </row>
    <row r="286" spans="1:4">
      <c r="A286" s="2">
        <v>42293</v>
      </c>
      <c r="B286" s="2" t="s">
        <v>7</v>
      </c>
      <c r="C286">
        <v>153</v>
      </c>
      <c r="D286" s="5">
        <f>Table1[[#This Row],[Date]]</f>
        <v>42293</v>
      </c>
    </row>
    <row r="287" spans="1:4">
      <c r="A287" s="2">
        <v>42294</v>
      </c>
      <c r="B287" s="2" t="s">
        <v>8</v>
      </c>
      <c r="C287">
        <v>140</v>
      </c>
      <c r="D287" s="5">
        <f>Table1[[#This Row],[Date]]</f>
        <v>42294</v>
      </c>
    </row>
    <row r="288" spans="1:4">
      <c r="A288" s="2">
        <v>42295</v>
      </c>
      <c r="B288" s="2" t="s">
        <v>9</v>
      </c>
      <c r="C288">
        <v>105</v>
      </c>
      <c r="D288" s="5">
        <f>Table1[[#This Row],[Date]]</f>
        <v>42295</v>
      </c>
    </row>
    <row r="289" spans="1:4">
      <c r="A289" s="2">
        <v>42297</v>
      </c>
      <c r="B289" s="2" t="s">
        <v>4</v>
      </c>
      <c r="C289">
        <v>154</v>
      </c>
      <c r="D289" s="5">
        <f>Table1[[#This Row],[Date]]</f>
        <v>42297</v>
      </c>
    </row>
    <row r="290" spans="1:4">
      <c r="A290" s="2">
        <v>42298</v>
      </c>
      <c r="B290" s="2" t="s">
        <v>5</v>
      </c>
      <c r="C290">
        <v>149</v>
      </c>
      <c r="D290" s="5">
        <f>Table1[[#This Row],[Date]]</f>
        <v>42298</v>
      </c>
    </row>
    <row r="291" spans="1:4">
      <c r="A291" s="2">
        <v>42299</v>
      </c>
      <c r="B291" s="2" t="s">
        <v>6</v>
      </c>
      <c r="C291">
        <v>145</v>
      </c>
      <c r="D291" s="5">
        <f>Table1[[#This Row],[Date]]</f>
        <v>42299</v>
      </c>
    </row>
    <row r="292" spans="1:4">
      <c r="A292" s="2">
        <v>42300</v>
      </c>
      <c r="B292" s="2" t="s">
        <v>7</v>
      </c>
      <c r="C292">
        <v>154</v>
      </c>
      <c r="D292" s="5">
        <f>Table1[[#This Row],[Date]]</f>
        <v>42300</v>
      </c>
    </row>
    <row r="293" spans="1:4">
      <c r="A293" s="2">
        <v>42301</v>
      </c>
      <c r="B293" s="2" t="s">
        <v>8</v>
      </c>
      <c r="C293">
        <v>160</v>
      </c>
      <c r="D293" s="5">
        <f>Table1[[#This Row],[Date]]</f>
        <v>42301</v>
      </c>
    </row>
    <row r="294" spans="1:4">
      <c r="A294" s="2">
        <v>42302</v>
      </c>
      <c r="B294" s="2" t="s">
        <v>9</v>
      </c>
      <c r="C294">
        <v>114</v>
      </c>
      <c r="D294" s="5">
        <f>Table1[[#This Row],[Date]]</f>
        <v>42302</v>
      </c>
    </row>
    <row r="295" spans="1:4">
      <c r="A295" s="2">
        <v>42304</v>
      </c>
      <c r="B295" s="2" t="s">
        <v>4</v>
      </c>
      <c r="C295">
        <v>120</v>
      </c>
      <c r="D295" s="5">
        <f>Table1[[#This Row],[Date]]</f>
        <v>42304</v>
      </c>
    </row>
    <row r="296" spans="1:4">
      <c r="A296" s="2">
        <v>42305</v>
      </c>
      <c r="B296" s="2" t="s">
        <v>5</v>
      </c>
      <c r="C296">
        <v>104</v>
      </c>
      <c r="D296" s="5">
        <f>Table1[[#This Row],[Date]]</f>
        <v>42305</v>
      </c>
    </row>
    <row r="297" spans="1:4">
      <c r="A297" s="2">
        <v>42306</v>
      </c>
      <c r="B297" s="2" t="s">
        <v>6</v>
      </c>
      <c r="C297">
        <v>131</v>
      </c>
      <c r="D297" s="5">
        <f>Table1[[#This Row],[Date]]</f>
        <v>42306</v>
      </c>
    </row>
    <row r="298" spans="1:4">
      <c r="A298" s="2">
        <v>42307</v>
      </c>
      <c r="B298" s="2" t="s">
        <v>7</v>
      </c>
      <c r="C298">
        <v>166</v>
      </c>
      <c r="D298" s="5">
        <f>Table1[[#This Row],[Date]]</f>
        <v>42307</v>
      </c>
    </row>
    <row r="299" spans="1:4">
      <c r="A299" s="2">
        <v>42308</v>
      </c>
      <c r="B299" s="2" t="s">
        <v>8</v>
      </c>
      <c r="C299">
        <v>165</v>
      </c>
      <c r="D299" s="5">
        <f>Table1[[#This Row],[Date]]</f>
        <v>42308</v>
      </c>
    </row>
    <row r="300" spans="1:4">
      <c r="A300" s="2">
        <v>42309</v>
      </c>
      <c r="B300" s="2" t="s">
        <v>9</v>
      </c>
      <c r="C300">
        <v>124</v>
      </c>
      <c r="D300" s="5">
        <f>Table1[[#This Row],[Date]]</f>
        <v>42309</v>
      </c>
    </row>
    <row r="301" spans="1:4">
      <c r="A301" s="2">
        <v>42310</v>
      </c>
      <c r="B301" s="2" t="s">
        <v>3</v>
      </c>
      <c r="C301">
        <v>138</v>
      </c>
      <c r="D301" s="5">
        <f>Table1[[#This Row],[Date]]</f>
        <v>42310</v>
      </c>
    </row>
    <row r="302" spans="1:4">
      <c r="A302" s="2">
        <v>42311</v>
      </c>
      <c r="B302" s="2" t="s">
        <v>4</v>
      </c>
      <c r="C302">
        <v>114</v>
      </c>
      <c r="D302" s="5">
        <f>Table1[[#This Row],[Date]]</f>
        <v>42311</v>
      </c>
    </row>
    <row r="303" spans="1:4">
      <c r="A303" s="2">
        <v>42312</v>
      </c>
      <c r="B303" s="2" t="s">
        <v>5</v>
      </c>
      <c r="C303">
        <v>121</v>
      </c>
      <c r="D303" s="5">
        <f>Table1[[#This Row],[Date]]</f>
        <v>42312</v>
      </c>
    </row>
    <row r="304" spans="1:4">
      <c r="A304" s="2">
        <v>42313</v>
      </c>
      <c r="B304" s="2" t="s">
        <v>6</v>
      </c>
      <c r="C304">
        <v>124</v>
      </c>
      <c r="D304" s="5">
        <f>Table1[[#This Row],[Date]]</f>
        <v>42313</v>
      </c>
    </row>
    <row r="305" spans="1:4">
      <c r="A305" s="2">
        <v>42314</v>
      </c>
      <c r="B305" s="2" t="s">
        <v>7</v>
      </c>
      <c r="C305">
        <v>190</v>
      </c>
      <c r="D305" s="5">
        <f>Table1[[#This Row],[Date]]</f>
        <v>42314</v>
      </c>
    </row>
    <row r="306" spans="1:4">
      <c r="A306" s="2">
        <v>42315</v>
      </c>
      <c r="B306" s="2" t="s">
        <v>8</v>
      </c>
      <c r="C306">
        <v>156</v>
      </c>
      <c r="D306" s="5">
        <f>Table1[[#This Row],[Date]]</f>
        <v>42315</v>
      </c>
    </row>
    <row r="307" spans="1:4">
      <c r="A307" s="2">
        <v>42316</v>
      </c>
      <c r="B307" s="2" t="s">
        <v>9</v>
      </c>
      <c r="C307">
        <v>127</v>
      </c>
      <c r="D307" s="5">
        <f>Table1[[#This Row],[Date]]</f>
        <v>42316</v>
      </c>
    </row>
    <row r="308" spans="1:4">
      <c r="A308" s="2">
        <v>42317</v>
      </c>
      <c r="B308" s="2" t="s">
        <v>3</v>
      </c>
      <c r="C308">
        <v>151</v>
      </c>
      <c r="D308" s="5">
        <f>Table1[[#This Row],[Date]]</f>
        <v>42317</v>
      </c>
    </row>
    <row r="309" spans="1:4">
      <c r="A309" s="2">
        <v>42318</v>
      </c>
      <c r="B309" s="2" t="s">
        <v>4</v>
      </c>
      <c r="C309">
        <v>126</v>
      </c>
      <c r="D309" s="5">
        <f>Table1[[#This Row],[Date]]</f>
        <v>42318</v>
      </c>
    </row>
    <row r="310" spans="1:4">
      <c r="A310" s="2">
        <v>42319</v>
      </c>
      <c r="B310" s="2" t="s">
        <v>5</v>
      </c>
      <c r="C310">
        <v>118</v>
      </c>
      <c r="D310" s="5">
        <f>Table1[[#This Row],[Date]]</f>
        <v>42319</v>
      </c>
    </row>
    <row r="311" spans="1:4">
      <c r="A311" s="2">
        <v>42320</v>
      </c>
      <c r="B311" s="2" t="s">
        <v>6</v>
      </c>
      <c r="C311">
        <v>153</v>
      </c>
      <c r="D311" s="5">
        <f>Table1[[#This Row],[Date]]</f>
        <v>42320</v>
      </c>
    </row>
    <row r="312" spans="1:4">
      <c r="A312" s="2">
        <v>42321</v>
      </c>
      <c r="B312" s="2" t="s">
        <v>7</v>
      </c>
      <c r="C312">
        <v>141</v>
      </c>
      <c r="D312" s="5">
        <f>Table1[[#This Row],[Date]]</f>
        <v>42321</v>
      </c>
    </row>
    <row r="313" spans="1:4">
      <c r="A313" s="2">
        <v>42322</v>
      </c>
      <c r="B313" s="2" t="s">
        <v>8</v>
      </c>
      <c r="C313">
        <v>142</v>
      </c>
      <c r="D313" s="5">
        <f>Table1[[#This Row],[Date]]</f>
        <v>42322</v>
      </c>
    </row>
    <row r="314" spans="1:4">
      <c r="A314" s="2">
        <v>42323</v>
      </c>
      <c r="B314" s="2" t="s">
        <v>9</v>
      </c>
      <c r="C314">
        <v>113</v>
      </c>
      <c r="D314" s="5">
        <f>Table1[[#This Row],[Date]]</f>
        <v>42323</v>
      </c>
    </row>
    <row r="315" spans="1:4">
      <c r="A315" s="2">
        <v>42324</v>
      </c>
      <c r="B315" s="2" t="s">
        <v>3</v>
      </c>
      <c r="C315">
        <v>136</v>
      </c>
      <c r="D315" s="5">
        <f>Table1[[#This Row],[Date]]</f>
        <v>42324</v>
      </c>
    </row>
    <row r="316" spans="1:4">
      <c r="A316" s="2">
        <v>42325</v>
      </c>
      <c r="B316" s="2" t="s">
        <v>4</v>
      </c>
      <c r="C316">
        <v>117</v>
      </c>
      <c r="D316" s="5">
        <f>Table1[[#This Row],[Date]]</f>
        <v>42325</v>
      </c>
    </row>
    <row r="317" spans="1:4">
      <c r="A317" s="2">
        <v>42326</v>
      </c>
      <c r="B317" s="2" t="s">
        <v>5</v>
      </c>
      <c r="C317">
        <v>130</v>
      </c>
      <c r="D317" s="5">
        <f>Table1[[#This Row],[Date]]</f>
        <v>42326</v>
      </c>
    </row>
    <row r="318" spans="1:4">
      <c r="A318" s="2">
        <v>42327</v>
      </c>
      <c r="B318" s="2" t="s">
        <v>6</v>
      </c>
      <c r="C318">
        <v>162</v>
      </c>
      <c r="D318" s="5">
        <f>Table1[[#This Row],[Date]]</f>
        <v>42327</v>
      </c>
    </row>
    <row r="319" spans="1:4">
      <c r="A319" s="2">
        <v>42328</v>
      </c>
      <c r="B319" s="2" t="s">
        <v>7</v>
      </c>
      <c r="C319">
        <v>148</v>
      </c>
      <c r="D319" s="5">
        <f>Table1[[#This Row],[Date]]</f>
        <v>42328</v>
      </c>
    </row>
    <row r="320" spans="1:4">
      <c r="A320" s="2">
        <v>42329</v>
      </c>
      <c r="B320" s="2" t="s">
        <v>8</v>
      </c>
      <c r="C320">
        <v>131</v>
      </c>
      <c r="D320" s="5">
        <f>Table1[[#This Row],[Date]]</f>
        <v>42329</v>
      </c>
    </row>
    <row r="321" spans="1:4">
      <c r="A321" s="2">
        <v>42330</v>
      </c>
      <c r="B321" s="2" t="s">
        <v>9</v>
      </c>
      <c r="C321">
        <v>84</v>
      </c>
      <c r="D321" s="5">
        <f>Table1[[#This Row],[Date]]</f>
        <v>42330</v>
      </c>
    </row>
    <row r="322" spans="1:4">
      <c r="A322" s="2">
        <v>42331</v>
      </c>
      <c r="B322" s="2" t="s">
        <v>3</v>
      </c>
      <c r="C322">
        <v>148</v>
      </c>
      <c r="D322" s="5">
        <f>Table1[[#This Row],[Date]]</f>
        <v>42331</v>
      </c>
    </row>
    <row r="323" spans="1:4">
      <c r="A323" s="2">
        <v>42332</v>
      </c>
      <c r="B323" s="2" t="s">
        <v>4</v>
      </c>
      <c r="C323">
        <v>131</v>
      </c>
      <c r="D323" s="5">
        <f>Table1[[#This Row],[Date]]</f>
        <v>42332</v>
      </c>
    </row>
    <row r="324" spans="1:4">
      <c r="A324" s="2">
        <v>42333</v>
      </c>
      <c r="B324" s="2" t="s">
        <v>5</v>
      </c>
      <c r="C324">
        <v>144</v>
      </c>
      <c r="D324" s="5">
        <f>Table1[[#This Row],[Date]]</f>
        <v>42333</v>
      </c>
    </row>
    <row r="325" spans="1:4">
      <c r="A325" s="2">
        <v>42334</v>
      </c>
      <c r="B325" s="2" t="s">
        <v>6</v>
      </c>
      <c r="C325">
        <v>266</v>
      </c>
      <c r="D325" s="5">
        <f>Table1[[#This Row],[Date]]</f>
        <v>42334</v>
      </c>
    </row>
    <row r="326" spans="1:4">
      <c r="A326" s="2">
        <v>42335</v>
      </c>
      <c r="B326" s="2" t="s">
        <v>7</v>
      </c>
      <c r="C326">
        <v>264</v>
      </c>
      <c r="D326" s="5">
        <f>Table1[[#This Row],[Date]]</f>
        <v>42335</v>
      </c>
    </row>
    <row r="327" spans="1:4">
      <c r="A327" s="2">
        <v>42336</v>
      </c>
      <c r="B327" s="2" t="s">
        <v>8</v>
      </c>
      <c r="C327">
        <v>118</v>
      </c>
      <c r="D327" s="5">
        <f>Table1[[#This Row],[Date]]</f>
        <v>42336</v>
      </c>
    </row>
    <row r="328" spans="1:4">
      <c r="A328" s="2">
        <v>42337</v>
      </c>
      <c r="B328" s="2" t="s">
        <v>9</v>
      </c>
      <c r="C328">
        <v>115</v>
      </c>
      <c r="D328" s="5">
        <f>Table1[[#This Row],[Date]]</f>
        <v>42337</v>
      </c>
    </row>
    <row r="329" spans="1:4">
      <c r="A329" s="2">
        <v>42338</v>
      </c>
      <c r="B329" s="2" t="s">
        <v>3</v>
      </c>
      <c r="C329">
        <v>134</v>
      </c>
      <c r="D329" s="5">
        <f>Table1[[#This Row],[Date]]</f>
        <v>42338</v>
      </c>
    </row>
    <row r="330" spans="1:4">
      <c r="A330" s="2">
        <v>42339</v>
      </c>
      <c r="B330" s="2" t="s">
        <v>4</v>
      </c>
      <c r="C330">
        <v>131</v>
      </c>
      <c r="D330" s="5">
        <f>Table1[[#This Row],[Date]]</f>
        <v>42339</v>
      </c>
    </row>
    <row r="331" spans="1:4">
      <c r="A331" s="2">
        <v>42340</v>
      </c>
      <c r="B331" s="2" t="s">
        <v>5</v>
      </c>
      <c r="C331">
        <v>132</v>
      </c>
      <c r="D331" s="5">
        <f>Table1[[#This Row],[Date]]</f>
        <v>42340</v>
      </c>
    </row>
    <row r="332" spans="1:4">
      <c r="A332" s="2">
        <v>42341</v>
      </c>
      <c r="B332" s="2" t="s">
        <v>6</v>
      </c>
      <c r="C332">
        <v>136</v>
      </c>
      <c r="D332" s="5">
        <f>Table1[[#This Row],[Date]]</f>
        <v>42341</v>
      </c>
    </row>
    <row r="333" spans="1:4">
      <c r="A333" s="2">
        <v>42342</v>
      </c>
      <c r="B333" s="2" t="s">
        <v>7</v>
      </c>
      <c r="C333">
        <v>176</v>
      </c>
      <c r="D333" s="5">
        <f>Table1[[#This Row],[Date]]</f>
        <v>42342</v>
      </c>
    </row>
    <row r="334" spans="1:4">
      <c r="A334" s="2">
        <v>42343</v>
      </c>
      <c r="B334" s="2" t="s">
        <v>8</v>
      </c>
      <c r="C334">
        <v>160</v>
      </c>
      <c r="D334" s="5">
        <f>Table1[[#This Row],[Date]]</f>
        <v>42343</v>
      </c>
    </row>
    <row r="335" spans="1:4">
      <c r="A335" s="2">
        <v>42344</v>
      </c>
      <c r="B335" s="2" t="s">
        <v>9</v>
      </c>
      <c r="C335">
        <v>144</v>
      </c>
      <c r="D335" s="5">
        <f>Table1[[#This Row],[Date]]</f>
        <v>42344</v>
      </c>
    </row>
    <row r="336" spans="1:4">
      <c r="A336" s="2">
        <v>42345</v>
      </c>
      <c r="B336" s="2" t="s">
        <v>3</v>
      </c>
      <c r="C336">
        <v>150</v>
      </c>
      <c r="D336" s="5">
        <f>Table1[[#This Row],[Date]]</f>
        <v>42345</v>
      </c>
    </row>
    <row r="337" spans="1:4">
      <c r="A337" s="2">
        <v>42346</v>
      </c>
      <c r="B337" s="2" t="s">
        <v>4</v>
      </c>
      <c r="C337">
        <v>110</v>
      </c>
      <c r="D337" s="5">
        <f>Table1[[#This Row],[Date]]</f>
        <v>42346</v>
      </c>
    </row>
    <row r="338" spans="1:4">
      <c r="A338" s="2">
        <v>42347</v>
      </c>
      <c r="B338" s="2" t="s">
        <v>5</v>
      </c>
      <c r="C338">
        <v>160</v>
      </c>
      <c r="D338" s="5">
        <f>Table1[[#This Row],[Date]]</f>
        <v>42347</v>
      </c>
    </row>
    <row r="339" spans="1:4">
      <c r="A339" s="2">
        <v>42348</v>
      </c>
      <c r="B339" s="2" t="s">
        <v>6</v>
      </c>
      <c r="C339">
        <v>118</v>
      </c>
      <c r="D339" s="5">
        <f>Table1[[#This Row],[Date]]</f>
        <v>42348</v>
      </c>
    </row>
    <row r="340" spans="1:4">
      <c r="A340" s="2">
        <v>42349</v>
      </c>
      <c r="B340" s="2" t="s">
        <v>7</v>
      </c>
      <c r="C340">
        <v>164</v>
      </c>
      <c r="D340" s="5">
        <f>Table1[[#This Row],[Date]]</f>
        <v>42349</v>
      </c>
    </row>
    <row r="341" spans="1:4">
      <c r="A341" s="2">
        <v>42350</v>
      </c>
      <c r="B341" s="2" t="s">
        <v>8</v>
      </c>
      <c r="C341">
        <v>127</v>
      </c>
      <c r="D341" s="5">
        <f>Table1[[#This Row],[Date]]</f>
        <v>42350</v>
      </c>
    </row>
    <row r="342" spans="1:4">
      <c r="A342" s="2">
        <v>42351</v>
      </c>
      <c r="B342" s="2" t="s">
        <v>9</v>
      </c>
      <c r="C342">
        <v>130</v>
      </c>
      <c r="D342" s="5">
        <f>Table1[[#This Row],[Date]]</f>
        <v>42351</v>
      </c>
    </row>
    <row r="343" spans="1:4">
      <c r="A343" s="2">
        <v>42352</v>
      </c>
      <c r="B343" s="2" t="s">
        <v>3</v>
      </c>
      <c r="C343">
        <v>131</v>
      </c>
      <c r="D343" s="5">
        <f>Table1[[#This Row],[Date]]</f>
        <v>42352</v>
      </c>
    </row>
    <row r="344" spans="1:4">
      <c r="A344" s="2">
        <v>42353</v>
      </c>
      <c r="B344" s="2" t="s">
        <v>4</v>
      </c>
      <c r="C344">
        <v>146</v>
      </c>
      <c r="D344" s="5">
        <f>Table1[[#This Row],[Date]]</f>
        <v>42353</v>
      </c>
    </row>
    <row r="345" spans="1:4">
      <c r="A345" s="2">
        <v>42354</v>
      </c>
      <c r="B345" s="2" t="s">
        <v>5</v>
      </c>
      <c r="C345">
        <v>133</v>
      </c>
      <c r="D345" s="5">
        <f>Table1[[#This Row],[Date]]</f>
        <v>42354</v>
      </c>
    </row>
    <row r="346" spans="1:4">
      <c r="A346" s="2">
        <v>42355</v>
      </c>
      <c r="B346" s="2" t="s">
        <v>6</v>
      </c>
      <c r="C346">
        <v>113</v>
      </c>
      <c r="D346" s="5">
        <f>Table1[[#This Row],[Date]]</f>
        <v>42355</v>
      </c>
    </row>
    <row r="347" spans="1:4">
      <c r="A347" s="2">
        <v>42356</v>
      </c>
      <c r="B347" s="2" t="s">
        <v>7</v>
      </c>
      <c r="C347">
        <v>176</v>
      </c>
      <c r="D347" s="5">
        <f>Table1[[#This Row],[Date]]</f>
        <v>42356</v>
      </c>
    </row>
    <row r="348" spans="1:4">
      <c r="A348" s="2">
        <v>42357</v>
      </c>
      <c r="B348" s="2" t="s">
        <v>8</v>
      </c>
      <c r="C348">
        <v>139</v>
      </c>
      <c r="D348" s="5">
        <f>Table1[[#This Row],[Date]]</f>
        <v>42357</v>
      </c>
    </row>
    <row r="349" spans="1:4">
      <c r="A349" s="2">
        <v>42358</v>
      </c>
      <c r="B349" s="2" t="s">
        <v>9</v>
      </c>
      <c r="C349">
        <v>124</v>
      </c>
      <c r="D349" s="5">
        <f>Table1[[#This Row],[Date]]</f>
        <v>42358</v>
      </c>
    </row>
    <row r="350" spans="1:4">
      <c r="A350" s="2">
        <v>42359</v>
      </c>
      <c r="B350" s="2" t="s">
        <v>3</v>
      </c>
      <c r="C350">
        <v>130</v>
      </c>
      <c r="D350" s="5">
        <f>Table1[[#This Row],[Date]]</f>
        <v>42359</v>
      </c>
    </row>
    <row r="351" spans="1:4">
      <c r="A351" s="2">
        <v>42360</v>
      </c>
      <c r="B351" s="2" t="s">
        <v>4</v>
      </c>
      <c r="C351">
        <v>114</v>
      </c>
      <c r="D351" s="5">
        <f>Table1[[#This Row],[Date]]</f>
        <v>42360</v>
      </c>
    </row>
    <row r="352" spans="1:4">
      <c r="A352" s="2">
        <v>42361</v>
      </c>
      <c r="B352" s="2" t="s">
        <v>5</v>
      </c>
      <c r="C352">
        <v>134</v>
      </c>
      <c r="D352" s="5">
        <f>Table1[[#This Row],[Date]]</f>
        <v>42361</v>
      </c>
    </row>
    <row r="353" spans="1:4">
      <c r="A353" s="2">
        <v>42362</v>
      </c>
      <c r="B353" s="2" t="s">
        <v>6</v>
      </c>
      <c r="C353">
        <v>131</v>
      </c>
      <c r="D353" s="5">
        <f>Table1[[#This Row],[Date]]</f>
        <v>42362</v>
      </c>
    </row>
    <row r="354" spans="1:4">
      <c r="A354" s="2">
        <v>42364</v>
      </c>
      <c r="B354" s="2" t="s">
        <v>8</v>
      </c>
      <c r="C354">
        <v>95</v>
      </c>
      <c r="D354" s="5">
        <f>Table1[[#This Row],[Date]]</f>
        <v>42364</v>
      </c>
    </row>
    <row r="355" spans="1:4">
      <c r="A355" s="2">
        <v>42365</v>
      </c>
      <c r="B355" s="2" t="s">
        <v>9</v>
      </c>
      <c r="C355">
        <v>89</v>
      </c>
      <c r="D355" s="5">
        <f>Table1[[#This Row],[Date]]</f>
        <v>42365</v>
      </c>
    </row>
    <row r="356" spans="1:4">
      <c r="A356" s="2">
        <v>42366</v>
      </c>
      <c r="B356" s="2" t="s">
        <v>3</v>
      </c>
      <c r="C356">
        <v>102</v>
      </c>
      <c r="D356" s="5">
        <f>Table1[[#This Row],[Date]]</f>
        <v>42366</v>
      </c>
    </row>
    <row r="357" spans="1:4">
      <c r="A357" s="2">
        <v>42367</v>
      </c>
      <c r="B357" s="2" t="s">
        <v>4</v>
      </c>
      <c r="C357">
        <v>80</v>
      </c>
      <c r="D357" s="5">
        <f>Table1[[#This Row],[Date]]</f>
        <v>42367</v>
      </c>
    </row>
    <row r="358" spans="1:4">
      <c r="A358" s="2">
        <v>42368</v>
      </c>
      <c r="B358" s="2" t="s">
        <v>5</v>
      </c>
      <c r="C358">
        <v>82</v>
      </c>
      <c r="D358" s="5">
        <f>Table1[[#This Row],[Date]]</f>
        <v>42368</v>
      </c>
    </row>
    <row r="359" spans="1:4">
      <c r="A359" s="2">
        <v>42369</v>
      </c>
      <c r="B359" s="2" t="s">
        <v>6</v>
      </c>
      <c r="C359">
        <v>178</v>
      </c>
      <c r="D359" s="5">
        <f>Table1[[#This Row],[Date]]</f>
        <v>42369</v>
      </c>
    </row>
  </sheetData>
  <phoneticPr fontId="18" type="noConversion"/>
  <pageMargins left="0.7" right="0.7" top="0.75" bottom="0.75" header="0.3" footer="0.3"/>
  <pageSetup orientation="portrait" horizontalDpi="1200" verticalDpi="12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386B-2932-4633-8174-5E8AA506A123}">
  <dimension ref="C1:F19"/>
  <sheetViews>
    <sheetView workbookViewId="0">
      <selection activeCell="F9" sqref="F9"/>
    </sheetView>
  </sheetViews>
  <sheetFormatPr defaultRowHeight="14.4"/>
  <cols>
    <col min="3" max="3" width="25.6640625" bestFit="1" customWidth="1"/>
    <col min="4" max="5" width="24.21875" customWidth="1"/>
    <col min="6" max="6" width="27.109375" customWidth="1"/>
  </cols>
  <sheetData>
    <row r="1" spans="3:6" ht="21">
      <c r="C1" s="31" t="s">
        <v>26</v>
      </c>
      <c r="D1" s="31"/>
      <c r="E1" s="31"/>
      <c r="F1" s="31"/>
    </row>
    <row r="3" spans="3:6" ht="15.6">
      <c r="C3" s="7" t="s">
        <v>27</v>
      </c>
      <c r="D3" s="7" t="s">
        <v>28</v>
      </c>
    </row>
    <row r="4" spans="3:6" ht="15.6">
      <c r="C4" s="8" t="s">
        <v>29</v>
      </c>
      <c r="D4" s="9">
        <f>COUNT(Table1[Pizzas])</f>
        <v>358</v>
      </c>
    </row>
    <row r="5" spans="3:6" ht="15.6">
      <c r="C5" s="8" t="s">
        <v>30</v>
      </c>
      <c r="D5" s="9">
        <f>SUM(Table1[Pizzas])</f>
        <v>49574</v>
      </c>
    </row>
    <row r="6" spans="3:6" ht="15.6">
      <c r="C6" s="8" t="s">
        <v>37</v>
      </c>
      <c r="D6" s="9">
        <f>AVERAGE(Table1[Pizzas])</f>
        <v>138.47486033519553</v>
      </c>
    </row>
    <row r="7" spans="3:6" ht="15.6">
      <c r="C7" s="8" t="s">
        <v>31</v>
      </c>
      <c r="D7" s="10">
        <f>MEDIAN(Table1[Pizzas])</f>
        <v>136</v>
      </c>
    </row>
    <row r="8" spans="3:6" ht="15.6">
      <c r="C8" s="8" t="s">
        <v>10</v>
      </c>
      <c r="D8" s="10">
        <f>MODE(Table1[Pizzas])</f>
        <v>136</v>
      </c>
    </row>
    <row r="9" spans="3:6" ht="15.6">
      <c r="C9" s="8" t="s">
        <v>32</v>
      </c>
      <c r="D9" s="10">
        <f>STDEV(Table1[Pizzas])</f>
        <v>24.428669026957198</v>
      </c>
    </row>
    <row r="10" spans="3:6" ht="15.6">
      <c r="C10" s="8" t="s">
        <v>33</v>
      </c>
      <c r="D10" s="10">
        <f>MIN(Table1[Pizzas])</f>
        <v>77</v>
      </c>
    </row>
    <row r="11" spans="3:6" ht="15.6">
      <c r="C11" s="8" t="s">
        <v>34</v>
      </c>
      <c r="D11" s="10">
        <f>MAX(Table1[Pizzas])</f>
        <v>266</v>
      </c>
    </row>
    <row r="12" spans="3:6" ht="15.6">
      <c r="C12" s="8" t="s">
        <v>35</v>
      </c>
      <c r="D12" s="10">
        <f>D11-D10</f>
        <v>189</v>
      </c>
    </row>
    <row r="13" spans="3:6" ht="15.6">
      <c r="C13" s="8" t="s">
        <v>36</v>
      </c>
      <c r="D13" s="11">
        <f>SKEW(Table1[Pizzas])</f>
        <v>1.3885659936977468</v>
      </c>
    </row>
    <row r="16" spans="3:6">
      <c r="C16" s="32" t="s">
        <v>38</v>
      </c>
      <c r="D16" s="32"/>
      <c r="E16" s="32"/>
      <c r="F16" s="32"/>
    </row>
    <row r="17" spans="3:6">
      <c r="C17" s="12" t="s">
        <v>39</v>
      </c>
      <c r="D17" t="s">
        <v>40</v>
      </c>
    </row>
    <row r="18" spans="3:6">
      <c r="C18" s="12" t="s">
        <v>41</v>
      </c>
      <c r="D18" s="33" t="s">
        <v>42</v>
      </c>
      <c r="E18" s="33"/>
      <c r="F18" s="33"/>
    </row>
    <row r="19" spans="3:6" ht="30" customHeight="1">
      <c r="C19" s="13" t="s">
        <v>43</v>
      </c>
      <c r="D19" s="33" t="s">
        <v>44</v>
      </c>
      <c r="E19" s="33"/>
      <c r="F19" s="33"/>
    </row>
  </sheetData>
  <mergeCells count="4">
    <mergeCell ref="C1:F1"/>
    <mergeCell ref="C16:F16"/>
    <mergeCell ref="D18:F18"/>
    <mergeCell ref="D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39C5-6DBB-4985-BF4D-4EEDC083F7E6}">
  <dimension ref="B3:F16"/>
  <sheetViews>
    <sheetView workbookViewId="0">
      <selection activeCell="E28" sqref="E28"/>
    </sheetView>
  </sheetViews>
  <sheetFormatPr defaultRowHeight="14.4"/>
  <cols>
    <col min="2" max="2" width="11.6640625" customWidth="1"/>
    <col min="3" max="3" width="17.21875" customWidth="1"/>
    <col min="4" max="4" width="15.88671875" customWidth="1"/>
    <col min="5" max="5" width="17" bestFit="1" customWidth="1"/>
    <col min="6" max="6" width="16.6640625" customWidth="1"/>
    <col min="7" max="7" width="11.6640625" bestFit="1" customWidth="1"/>
  </cols>
  <sheetData>
    <row r="3" spans="2:6" ht="15.6">
      <c r="B3" s="7" t="s">
        <v>2</v>
      </c>
      <c r="C3" s="7" t="s">
        <v>29</v>
      </c>
      <c r="D3" s="7" t="s">
        <v>45</v>
      </c>
      <c r="E3" s="7" t="s">
        <v>46</v>
      </c>
      <c r="F3" s="7" t="s">
        <v>47</v>
      </c>
    </row>
    <row r="4" spans="2:6" ht="15.6">
      <c r="B4" s="14" t="s">
        <v>3</v>
      </c>
      <c r="C4" s="14">
        <v>48</v>
      </c>
      <c r="D4" s="14">
        <v>6485</v>
      </c>
      <c r="E4" s="15">
        <v>135.10416666666666</v>
      </c>
      <c r="F4" s="16">
        <f>D4/SUM(Table1[Pizzas])</f>
        <v>0.13081453987977568</v>
      </c>
    </row>
    <row r="5" spans="2:6" ht="15.6">
      <c r="B5" s="14" t="s">
        <v>4</v>
      </c>
      <c r="C5" s="14">
        <v>52</v>
      </c>
      <c r="D5" s="14">
        <v>6895</v>
      </c>
      <c r="E5" s="15">
        <v>132.59615384615384</v>
      </c>
      <c r="F5" s="16">
        <f>D5/SUM(Table1[Pizzas])</f>
        <v>0.13908500423609149</v>
      </c>
    </row>
    <row r="6" spans="2:6" ht="15.6">
      <c r="B6" s="14" t="s">
        <v>5</v>
      </c>
      <c r="C6" s="14">
        <v>52</v>
      </c>
      <c r="D6" s="14">
        <v>6946</v>
      </c>
      <c r="E6" s="15">
        <v>133.57692307692307</v>
      </c>
      <c r="F6" s="16">
        <f>D6/SUM(Table1[Pizzas])</f>
        <v>0.14011376931456004</v>
      </c>
    </row>
    <row r="7" spans="2:6" ht="15.6">
      <c r="B7" s="14" t="s">
        <v>6</v>
      </c>
      <c r="C7" s="14">
        <v>52</v>
      </c>
      <c r="D7" s="14">
        <v>7478</v>
      </c>
      <c r="E7" s="15">
        <v>143.80769230769232</v>
      </c>
      <c r="F7" s="16">
        <f>D7/SUM(Table1[Pizzas])</f>
        <v>0.1508452011134869</v>
      </c>
    </row>
    <row r="8" spans="2:6" ht="15.6">
      <c r="B8" s="14" t="s">
        <v>7</v>
      </c>
      <c r="C8" s="14">
        <v>50</v>
      </c>
      <c r="D8" s="17">
        <v>8242</v>
      </c>
      <c r="E8" s="15">
        <v>164.84</v>
      </c>
      <c r="F8" s="18">
        <f>D8/SUM(Table1[Pizzas])</f>
        <v>0.16625650542623149</v>
      </c>
    </row>
    <row r="9" spans="2:6" ht="15.6">
      <c r="B9" s="14" t="s">
        <v>8</v>
      </c>
      <c r="C9" s="14">
        <v>52</v>
      </c>
      <c r="D9" s="14">
        <v>7493</v>
      </c>
      <c r="E9" s="15">
        <v>144.09615384615384</v>
      </c>
      <c r="F9" s="16">
        <f>D9/SUM(Table1[Pizzas])</f>
        <v>0.15114777907774238</v>
      </c>
    </row>
    <row r="10" spans="2:6" ht="15.6">
      <c r="B10" s="14" t="s">
        <v>9</v>
      </c>
      <c r="C10" s="19">
        <v>52</v>
      </c>
      <c r="D10" s="17">
        <v>6035</v>
      </c>
      <c r="E10" s="20">
        <v>116.05769230769231</v>
      </c>
      <c r="F10" s="18">
        <f>D10/SUM(Table1[Pizzas])</f>
        <v>0.12173720095211199</v>
      </c>
    </row>
    <row r="12" spans="2:6">
      <c r="B12" s="32" t="s">
        <v>48</v>
      </c>
      <c r="C12" s="32"/>
      <c r="D12" s="32"/>
      <c r="E12" s="32"/>
      <c r="F12" s="32"/>
    </row>
    <row r="13" spans="2:6">
      <c r="B13" t="s">
        <v>49</v>
      </c>
      <c r="C13" s="33" t="s">
        <v>50</v>
      </c>
      <c r="D13" s="33"/>
      <c r="E13" s="33"/>
      <c r="F13" s="33"/>
    </row>
    <row r="14" spans="2:6">
      <c r="B14" t="s">
        <v>49</v>
      </c>
      <c r="C14" s="33" t="s">
        <v>51</v>
      </c>
      <c r="D14" s="33"/>
      <c r="E14" s="33"/>
      <c r="F14" s="33"/>
    </row>
    <row r="15" spans="2:6">
      <c r="B15" t="s">
        <v>49</v>
      </c>
      <c r="C15" t="s">
        <v>52</v>
      </c>
    </row>
    <row r="16" spans="2:6">
      <c r="B16" t="s">
        <v>53</v>
      </c>
      <c r="C16" t="s">
        <v>73</v>
      </c>
    </row>
  </sheetData>
  <mergeCells count="3">
    <mergeCell ref="B12:F12"/>
    <mergeCell ref="C13:F13"/>
    <mergeCell ref="C14:F14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EAE5-89B4-4A8A-82A1-EE8F686A4C57}">
  <dimension ref="B3:H21"/>
  <sheetViews>
    <sheetView workbookViewId="0">
      <selection activeCell="N9" sqref="N9"/>
    </sheetView>
  </sheetViews>
  <sheetFormatPr defaultRowHeight="14.4"/>
  <cols>
    <col min="2" max="2" width="10.21875" bestFit="1" customWidth="1"/>
    <col min="3" max="3" width="14.109375" bestFit="1" customWidth="1"/>
    <col min="4" max="4" width="15.21875" customWidth="1"/>
    <col min="5" max="5" width="12.44140625" bestFit="1" customWidth="1"/>
    <col min="6" max="6" width="9.21875" bestFit="1" customWidth="1"/>
    <col min="7" max="7" width="10" bestFit="1" customWidth="1"/>
    <col min="8" max="8" width="10.5546875" bestFit="1" customWidth="1"/>
    <col min="9" max="9" width="11" bestFit="1" customWidth="1"/>
  </cols>
  <sheetData>
    <row r="3" spans="2:8">
      <c r="B3" s="6" t="s">
        <v>54</v>
      </c>
      <c r="C3" s="6" t="s">
        <v>29</v>
      </c>
      <c r="D3" s="6" t="s">
        <v>45</v>
      </c>
      <c r="E3" s="6" t="s">
        <v>55</v>
      </c>
      <c r="F3" s="6" t="s">
        <v>33</v>
      </c>
      <c r="G3" s="6" t="s">
        <v>34</v>
      </c>
      <c r="H3" s="6" t="s">
        <v>47</v>
      </c>
    </row>
    <row r="4" spans="2:8">
      <c r="B4" s="21" t="s">
        <v>56</v>
      </c>
      <c r="C4" s="21">
        <v>31</v>
      </c>
      <c r="D4" s="21">
        <v>4232</v>
      </c>
      <c r="E4" s="24">
        <v>136.51612903225808</v>
      </c>
      <c r="F4" s="24">
        <v>102</v>
      </c>
      <c r="G4" s="24">
        <v>173</v>
      </c>
      <c r="H4" s="23">
        <f>D4/SUM(Table1[Pizzas])</f>
        <v>8.5367329648606119E-2</v>
      </c>
    </row>
    <row r="5" spans="2:8">
      <c r="B5" s="21" t="s">
        <v>57</v>
      </c>
      <c r="C5" s="21">
        <v>28</v>
      </c>
      <c r="D5" s="21">
        <v>3961</v>
      </c>
      <c r="E5" s="24">
        <v>141.46428571428572</v>
      </c>
      <c r="F5" s="24">
        <v>97</v>
      </c>
      <c r="G5" s="24">
        <v>191</v>
      </c>
      <c r="H5" s="23">
        <f>D5/SUM(Table1[Pizzas])</f>
        <v>7.9900754427724208E-2</v>
      </c>
    </row>
    <row r="6" spans="2:8">
      <c r="B6" s="21" t="s">
        <v>58</v>
      </c>
      <c r="C6" s="21">
        <v>31</v>
      </c>
      <c r="D6" s="21">
        <v>4261</v>
      </c>
      <c r="E6" s="24">
        <v>137.45161290322579</v>
      </c>
      <c r="F6" s="24">
        <v>77</v>
      </c>
      <c r="G6" s="24">
        <v>179</v>
      </c>
      <c r="H6" s="23">
        <f>D6/SUM(Table1[Pizzas])</f>
        <v>8.5952313712833336E-2</v>
      </c>
    </row>
    <row r="7" spans="2:8">
      <c r="B7" s="21" t="s">
        <v>59</v>
      </c>
      <c r="C7" s="21">
        <v>30</v>
      </c>
      <c r="D7" s="21">
        <v>4151</v>
      </c>
      <c r="E7" s="24">
        <v>138.36666666666667</v>
      </c>
      <c r="F7" s="24">
        <v>95</v>
      </c>
      <c r="G7" s="24">
        <v>175</v>
      </c>
      <c r="H7" s="23">
        <f>D7/SUM(Table1[Pizzas])</f>
        <v>8.3733408641626664E-2</v>
      </c>
    </row>
    <row r="8" spans="2:8">
      <c r="B8" s="21" t="s">
        <v>17</v>
      </c>
      <c r="C8" s="21">
        <v>31</v>
      </c>
      <c r="D8" s="21">
        <v>4328</v>
      </c>
      <c r="E8" s="24">
        <v>139.61290322580646</v>
      </c>
      <c r="F8" s="24">
        <v>107</v>
      </c>
      <c r="G8" s="24">
        <v>208</v>
      </c>
      <c r="H8" s="23">
        <f>D8/SUM(Table1[Pizzas])</f>
        <v>8.730382861984104E-2</v>
      </c>
    </row>
    <row r="9" spans="2:8">
      <c r="B9" s="21" t="s">
        <v>60</v>
      </c>
      <c r="C9" s="21">
        <v>30</v>
      </c>
      <c r="D9" s="21">
        <v>4107</v>
      </c>
      <c r="E9" s="24">
        <v>136.9</v>
      </c>
      <c r="F9" s="24">
        <v>95</v>
      </c>
      <c r="G9" s="24">
        <v>184</v>
      </c>
      <c r="H9" s="23">
        <f>D9/SUM(Table1[Pizzas])</f>
        <v>8.2845846613143981E-2</v>
      </c>
    </row>
    <row r="10" spans="2:8">
      <c r="B10" s="21" t="s">
        <v>61</v>
      </c>
      <c r="C10" s="21">
        <v>31</v>
      </c>
      <c r="D10" s="26">
        <v>4392</v>
      </c>
      <c r="E10" s="24">
        <v>141.67741935483872</v>
      </c>
      <c r="F10" s="24">
        <v>96</v>
      </c>
      <c r="G10" s="24">
        <v>234</v>
      </c>
      <c r="H10" s="23">
        <f>D10/SUM(Table1[Pizzas])</f>
        <v>8.8594827933997658E-2</v>
      </c>
    </row>
    <row r="11" spans="2:8">
      <c r="B11" s="21" t="s">
        <v>62</v>
      </c>
      <c r="C11" s="21">
        <v>31</v>
      </c>
      <c r="D11" s="21">
        <v>4168</v>
      </c>
      <c r="E11" s="24">
        <v>134.45161290322579</v>
      </c>
      <c r="F11" s="24">
        <v>94</v>
      </c>
      <c r="G11" s="24">
        <v>188</v>
      </c>
      <c r="H11" s="23">
        <f>D11/SUM(Table1[Pizzas])</f>
        <v>8.4076330334449514E-2</v>
      </c>
    </row>
    <row r="12" spans="2:8">
      <c r="B12" s="21" t="s">
        <v>63</v>
      </c>
      <c r="C12" s="21">
        <v>28</v>
      </c>
      <c r="D12" s="21">
        <v>3890</v>
      </c>
      <c r="E12" s="24">
        <v>138.92857142857142</v>
      </c>
      <c r="F12" s="24">
        <v>92</v>
      </c>
      <c r="G12" s="24">
        <v>179</v>
      </c>
      <c r="H12" s="23">
        <f>D12/SUM(Table1[Pizzas])</f>
        <v>7.846855206358172E-2</v>
      </c>
    </row>
    <row r="13" spans="2:8">
      <c r="B13" s="21" t="s">
        <v>64</v>
      </c>
      <c r="C13" s="21">
        <v>27</v>
      </c>
      <c r="D13" s="22">
        <v>3883</v>
      </c>
      <c r="E13" s="24">
        <v>143.81481481481481</v>
      </c>
      <c r="F13" s="24">
        <v>104</v>
      </c>
      <c r="G13" s="24">
        <v>262</v>
      </c>
      <c r="H13" s="23">
        <f>D13/SUM(Table1[Pizzas])</f>
        <v>7.8327349013595837E-2</v>
      </c>
    </row>
    <row r="14" spans="2:8">
      <c r="B14" s="21" t="s">
        <v>65</v>
      </c>
      <c r="C14" s="21">
        <v>30</v>
      </c>
      <c r="D14" s="21">
        <v>4266</v>
      </c>
      <c r="E14" s="24">
        <v>142.19999999999999</v>
      </c>
      <c r="F14" s="24">
        <v>84</v>
      </c>
      <c r="G14" s="25">
        <v>266</v>
      </c>
      <c r="H14" s="23">
        <f>D14/SUM(Table1[Pizzas])</f>
        <v>8.605317303425182E-2</v>
      </c>
    </row>
    <row r="15" spans="2:8">
      <c r="B15" s="21" t="s">
        <v>66</v>
      </c>
      <c r="C15" s="21">
        <v>30</v>
      </c>
      <c r="D15" s="21">
        <v>3935</v>
      </c>
      <c r="E15" s="27">
        <v>131.16666666666666</v>
      </c>
      <c r="F15" s="24">
        <v>80</v>
      </c>
      <c r="G15" s="24">
        <v>178</v>
      </c>
      <c r="H15" s="23">
        <f>D15/SUM(Table1[Pizzas])</f>
        <v>7.9376285956348089E-2</v>
      </c>
    </row>
    <row r="18" spans="2:7">
      <c r="B18" s="32" t="s">
        <v>68</v>
      </c>
      <c r="C18" s="32"/>
      <c r="D18" s="32"/>
      <c r="E18" s="32"/>
      <c r="F18" s="32"/>
      <c r="G18" s="32"/>
    </row>
    <row r="19" spans="2:7">
      <c r="B19" t="s">
        <v>69</v>
      </c>
      <c r="C19" t="s">
        <v>72</v>
      </c>
    </row>
    <row r="20" spans="2:7">
      <c r="B20" t="s">
        <v>69</v>
      </c>
      <c r="C20" t="s">
        <v>71</v>
      </c>
    </row>
    <row r="21" spans="2:7">
      <c r="B21" t="s">
        <v>53</v>
      </c>
      <c r="C21" t="s">
        <v>70</v>
      </c>
    </row>
  </sheetData>
  <mergeCells count="1">
    <mergeCell ref="B18:G18"/>
  </mergeCells>
  <conditionalFormatting sqref="D4:D15">
    <cfRule type="dataBar" priority="1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{411C9C65-FCE0-4975-A0CA-65BEA6F36217}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{7CA0B2CB-583A-49B6-AF89-C64D760F6B50}</x14:id>
        </ext>
      </extLst>
    </cfRule>
  </conditionalFormatting>
  <conditionalFormatting sqref="C4:C15">
    <cfRule type="aboveAverage" priority="2"/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1C9C65-FCE0-4975-A0CA-65BEA6F36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A0B2CB-583A-49B6-AF89-C64D760F6B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6154-C22F-4E12-9D3E-D0AD2BD0747D}">
  <dimension ref="A1:W45"/>
  <sheetViews>
    <sheetView showGridLines="0" tabSelected="1" topLeftCell="A18" workbookViewId="0">
      <selection activeCell="M29" sqref="M29"/>
    </sheetView>
  </sheetViews>
  <sheetFormatPr defaultRowHeight="14.4"/>
  <cols>
    <col min="7" max="7" width="8.88671875" customWidth="1"/>
  </cols>
  <sheetData>
    <row r="1" spans="1:23" ht="14.4" customHeight="1">
      <c r="A1" s="35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ht="14.4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4" spans="1:23" ht="14.4" customHeight="1">
      <c r="A4" s="36" t="s">
        <v>75</v>
      </c>
      <c r="B4" s="36"/>
      <c r="C4" s="36"/>
      <c r="D4" s="36" t="s">
        <v>76</v>
      </c>
      <c r="E4" s="36"/>
      <c r="F4" s="36"/>
      <c r="G4" s="36" t="s">
        <v>45</v>
      </c>
      <c r="H4" s="36"/>
      <c r="I4" s="36"/>
      <c r="J4" s="36" t="s">
        <v>77</v>
      </c>
      <c r="K4" s="36"/>
      <c r="L4" s="36"/>
    </row>
    <row r="5" spans="1:23">
      <c r="A5" s="37">
        <f>'Descriptive Statistics'!D6</f>
        <v>138.47486033519553</v>
      </c>
      <c r="B5" s="37"/>
      <c r="C5" s="37"/>
      <c r="D5" s="38">
        <f>'Descriptive Statistics'!D7</f>
        <v>136</v>
      </c>
      <c r="E5" s="38"/>
      <c r="F5" s="38"/>
      <c r="G5" s="37">
        <f>'Descriptive Statistics'!D5</f>
        <v>49574</v>
      </c>
      <c r="H5" s="37"/>
      <c r="I5" s="37"/>
      <c r="J5" s="38">
        <f>'Descriptive Statistics'!D9</f>
        <v>24.428669026957198</v>
      </c>
      <c r="K5" s="38"/>
      <c r="L5" s="38"/>
    </row>
    <row r="25" spans="1:8" ht="18">
      <c r="A25" s="28" t="s">
        <v>78</v>
      </c>
      <c r="B25" s="29"/>
      <c r="C25" s="29"/>
      <c r="D25" s="29"/>
      <c r="E25" s="29"/>
      <c r="F25" s="29"/>
      <c r="G25" s="29"/>
      <c r="H25" s="29"/>
    </row>
    <row r="27" spans="1:8">
      <c r="A27" t="s">
        <v>83</v>
      </c>
    </row>
    <row r="28" spans="1:8">
      <c r="A28" t="s">
        <v>84</v>
      </c>
    </row>
    <row r="30" spans="1:8" ht="18">
      <c r="A30" s="28" t="s">
        <v>79</v>
      </c>
      <c r="B30" s="29"/>
      <c r="C30" s="29"/>
      <c r="D30" s="29"/>
      <c r="E30" s="29"/>
      <c r="F30" s="29"/>
      <c r="G30" s="29"/>
    </row>
    <row r="32" spans="1:8">
      <c r="A32" t="s">
        <v>85</v>
      </c>
    </row>
    <row r="33" spans="1:7">
      <c r="A33" t="s">
        <v>86</v>
      </c>
    </row>
    <row r="35" spans="1:7">
      <c r="A35" t="s">
        <v>80</v>
      </c>
    </row>
    <row r="37" spans="1:7" ht="18">
      <c r="A37" s="28" t="s">
        <v>81</v>
      </c>
      <c r="B37" s="29"/>
      <c r="C37" s="29"/>
      <c r="D37" s="29"/>
      <c r="E37" s="29"/>
      <c r="F37" s="29"/>
      <c r="G37" s="29"/>
    </row>
    <row r="39" spans="1:7">
      <c r="A39" t="s">
        <v>82</v>
      </c>
    </row>
    <row r="41" spans="1:7">
      <c r="A41" s="34" t="s">
        <v>91</v>
      </c>
      <c r="B41" s="34"/>
      <c r="C41" s="34"/>
      <c r="D41" s="34"/>
    </row>
    <row r="42" spans="1:7">
      <c r="A42" s="30">
        <v>1</v>
      </c>
      <c r="B42" t="s">
        <v>90</v>
      </c>
    </row>
    <row r="43" spans="1:7">
      <c r="A43" s="30">
        <v>2</v>
      </c>
      <c r="B43" t="s">
        <v>89</v>
      </c>
    </row>
    <row r="44" spans="1:7">
      <c r="A44" s="30">
        <v>3</v>
      </c>
      <c r="B44" t="s">
        <v>88</v>
      </c>
    </row>
    <row r="45" spans="1:7">
      <c r="A45" s="30">
        <v>4</v>
      </c>
      <c r="B45" t="s">
        <v>87</v>
      </c>
    </row>
  </sheetData>
  <mergeCells count="10">
    <mergeCell ref="A41:D41"/>
    <mergeCell ref="A1:W2"/>
    <mergeCell ref="A4:C4"/>
    <mergeCell ref="D4:F4"/>
    <mergeCell ref="G4:I4"/>
    <mergeCell ref="J4:L4"/>
    <mergeCell ref="A5:C5"/>
    <mergeCell ref="D5:F5"/>
    <mergeCell ref="G5:I5"/>
    <mergeCell ref="J5:L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5D391-8545-4FC0-A589-9E73309B0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Descriptive Statistics</vt:lpstr>
      <vt:lpstr>Weekday Analysis</vt:lpstr>
      <vt:lpstr>Monthly Analysis</vt:lpstr>
      <vt:lpstr>Executive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window</cp:lastModifiedBy>
  <dcterms:created xsi:type="dcterms:W3CDTF">2022-11-13T22:14:26Z</dcterms:created>
  <dcterms:modified xsi:type="dcterms:W3CDTF">2026-09-11T10:35:40Z</dcterms:modified>
</cp:coreProperties>
</file>